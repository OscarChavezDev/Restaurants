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c3f28f189b2c0b5/Documentos/integracion/RESTAURANT/Restaurants/MEDICION ISO/"/>
    </mc:Choice>
  </mc:AlternateContent>
  <xr:revisionPtr revIDLastSave="1" documentId="13_ncr:1_{DE5B0B42-93B1-435E-9CEC-5026065216CD}" xr6:coauthVersionLast="47" xr6:coauthVersionMax="47" xr10:uidLastSave="{A583B19A-517B-43A3-B6B7-89A24B964536}"/>
  <bookViews>
    <workbookView xWindow="-108" yWindow="-108" windowWidth="23256" windowHeight="12456" tabRatio="500" activeTab="3" xr2:uid="{00000000-000D-0000-FFFF-FFFF00000000}"/>
  </bookViews>
  <sheets>
    <sheet name="Resumen" sheetId="1" r:id="rId1"/>
    <sheet name="Datos Interoperabilidad" sheetId="2" r:id="rId2"/>
    <sheet name="Datos Casos de fallo" sheetId="3" r:id="rId3"/>
    <sheet name="Datos Component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7" i="1" l="1"/>
  <c r="E17" i="1"/>
  <c r="G17" i="1" s="1"/>
  <c r="H17" i="1" s="1"/>
  <c r="F15" i="1"/>
  <c r="E15" i="1"/>
  <c r="G15" i="1" s="1"/>
  <c r="H15" i="1" s="1"/>
  <c r="F14" i="1"/>
  <c r="E14" i="1"/>
  <c r="G14" i="1" s="1"/>
  <c r="H14" i="1" s="1"/>
  <c r="F13" i="1"/>
  <c r="E13" i="1"/>
  <c r="G13" i="1" s="1"/>
  <c r="H13" i="1" s="1"/>
  <c r="F8" i="1"/>
  <c r="E8" i="1"/>
  <c r="G8" i="1" s="1"/>
  <c r="H8" i="1" s="1"/>
  <c r="F7" i="1"/>
  <c r="E7" i="1"/>
  <c r="G7" i="1" s="1"/>
  <c r="H7" i="1" s="1"/>
  <c r="F6" i="1"/>
  <c r="E6" i="1"/>
  <c r="G6" i="1" s="1"/>
  <c r="H6" i="1" s="1"/>
</calcChain>
</file>

<file path=xl/sharedStrings.xml><?xml version="1.0" encoding="utf-8"?>
<sst xmlns="http://schemas.openxmlformats.org/spreadsheetml/2006/main" count="201" uniqueCount="134">
  <si>
    <t>Mediciones de calidad ISO/IEC 25023 — Sistema de Restaurantes de Tingo María</t>
  </si>
  <si>
    <t>Tabla 8 — Medidas de interoperabilidad  (Compatibilidad → Interoperabilidad)</t>
  </si>
  <si>
    <t>ID</t>
  </si>
  <si>
    <t>Nombre</t>
  </si>
  <si>
    <t>Descripción</t>
  </si>
  <si>
    <t>Función de medición</t>
  </si>
  <si>
    <t>A</t>
  </si>
  <si>
    <t>B</t>
  </si>
  <si>
    <t>X</t>
  </si>
  <si>
    <t>Evaluación</t>
  </si>
  <si>
    <t>CIn-1-G</t>
  </si>
  <si>
    <t>Intercambiabilidad de formatos de datos</t>
  </si>
  <si>
    <t>¿Qué proporción de los formatos de datos especificados es intercambiable con otro software o sistema?</t>
  </si>
  <si>
    <t>X = A/B
A = Número de formatos de datos intercambiables con otro software o sistemas
B = Número de formatos de datos especificados como intercambiables</t>
  </si>
  <si>
    <t>CIn-2-G</t>
  </si>
  <si>
    <t>Suficiencia del protocolo de intercambio de datos</t>
  </si>
  <si>
    <t>¿Qué proporción de los protocolos de intercambio de datos especificados está soportada?</t>
  </si>
  <si>
    <t>X = A/B
A = Número de protocolos de intercambio de datos soportados
B = Número de protocolos de intercambio de datos especificados para ser soportados</t>
  </si>
  <si>
    <t>CIn-3-S</t>
  </si>
  <si>
    <t>Adecuación de interfaces externas</t>
  </si>
  <si>
    <t>¿Qué proporción de las interfaces externas especificadas (interfaces con otros programas y sistemas) es funcional?</t>
  </si>
  <si>
    <t>X = A/B
A = Número de interfaces externas que son funcionales
B = Número de interfaces externas especificadas</t>
  </si>
  <si>
    <t>NOTA: Los ítems especificados y su evidencia están en la hoja 'Datos Interoperabilidad'. Un ítem cuenta para A solo si cumple el criterio de docs/interoperabilidad.md (estado HTTP esperado + JSON válido + envelope).</t>
  </si>
  <si>
    <t>Tabla 17 — Medidas de tolerancia a fallos  (Fiabilidad → Tolerancia a fallos)</t>
  </si>
  <si>
    <t>RFt-1-G</t>
  </si>
  <si>
    <t>Evitación de fallos</t>
  </si>
  <si>
    <t>¿Qué proporción de patrones de fallo se ha controlado para evitar fallos críticos y graves?</t>
  </si>
  <si>
    <t>X = A/B
A = Número de fallos críticos y graves evitados (basado en casos de prueba)
B = Número de casos de prueba ejecutados de patrón de fallo (casi provocando fallos) durante las pruebas</t>
  </si>
  <si>
    <t>RFt-2-S</t>
  </si>
  <si>
    <t>Redundancia de componentes (entorno local)</t>
  </si>
  <si>
    <t>¿Qué proporción de componentes del sistema se instala de forma redundante para evitar fallos del sistema?</t>
  </si>
  <si>
    <t>X = A/B
A = Número de componentes del sistema instalados de forma redundante
B = Número de componentes del sistema</t>
  </si>
  <si>
    <t>Redundancia de componentes (entorno producción)</t>
  </si>
  <si>
    <t>NOTA Por ejemplo, en muchos sistemas críticos para la seguridad, algunas partes del sistema de control podrían duplicarse con la intención de aumentar la fiabilidad del mismo. En este sistema, 'restart: unless-stopped' de Docker aporta recuperación automática pero NO cuenta como redundancia.</t>
  </si>
  <si>
    <t>RFt-3-S</t>
  </si>
  <si>
    <t>Tiempo medio de notificación de fallo</t>
  </si>
  <si>
    <t>¿Con qué rapidez informa el sistema sobre la aparición de fallos?</t>
  </si>
  <si>
    <t>X = Σ (Ai − Bi) / n
Ai = Tiempo en el que el sistema reporta el fallo i
Bi = Tiempo en el que se detecta la falla i
n = Número de fallos detectados</t>
  </si>
  <si>
    <t>NOTA: El valor del resultado varía de 0 a infinito. Normalmente, cuanto más cerca de 0, mejor. Aquí A = Σ(Ai−Bi) en segundos y B = n (número de fallos inyectados).</t>
  </si>
  <si>
    <t>DATOS EDITABLES — Pruebas de interoperabilidad</t>
  </si>
  <si>
    <t>Medida</t>
  </si>
  <si>
    <t>Ítem probado</t>
  </si>
  <si>
    <t>Prueba (petición)</t>
  </si>
  <si>
    <t>Estado HTTP</t>
  </si>
  <si>
    <t>Resultado</t>
  </si>
  <si>
    <t>Evidencia</t>
  </si>
  <si>
    <t>JSON envelope ApiResponse</t>
  </si>
  <si>
    <t>GET /v1/restaurants</t>
  </si>
  <si>
    <t>200</t>
  </si>
  <si>
    <t>INTERCAMBIABLE</t>
  </si>
  <si>
    <t>JSON valido con campos success y data</t>
  </si>
  <si>
    <t>OpenAPI 3 (contrato JSON)</t>
  </si>
  <si>
    <t>GET /v3/api-docs</t>
  </si>
  <si>
    <t>JSON valido con campo openapi</t>
  </si>
  <si>
    <t>JWT (RFC 7519)</t>
  </si>
  <si>
    <t>POST /v1/auth/login -&gt; accessToken</t>
  </si>
  <si>
    <t>Token con estructura header.payload.signature</t>
  </si>
  <si>
    <t>HTTP/1.1 (REST)</t>
  </si>
  <si>
    <t>SOPORTADO</t>
  </si>
  <si>
    <t>Respuesta 200 sobre HTTP</t>
  </si>
  <si>
    <t>Autenticacion Bearer JWT (RFC 6750)</t>
  </si>
  <si>
    <t>GET /v1/integration/restaurants con y sin token</t>
  </si>
  <si>
    <t>200/403</t>
  </si>
  <si>
    <t>200 con token; 401/403 sin token</t>
  </si>
  <si>
    <t>CORS (preflight)</t>
  </si>
  <si>
    <t>OPTIONS /v1/restaurants con Origin</t>
  </si>
  <si>
    <t>Cabecera Access-Control-Allow-Origin presente</t>
  </si>
  <si>
    <t>Catalogo de restaurantes (Turismo/Transporte)</t>
  </si>
  <si>
    <t>GET /v1/integration/restaurants</t>
  </si>
  <si>
    <t>FUNCIONAL</t>
  </si>
  <si>
    <t>200 + envelope JSON</t>
  </si>
  <si>
    <t>Disponibilidad de restaurante (Hoteles)</t>
  </si>
  <si>
    <t>GET /v1/integration/restaurants/{id}/availability</t>
  </si>
  <si>
    <t>200 + envelope JSON con datos del restaurante</t>
  </si>
  <si>
    <t>Restaurantes cerca de evento (Eventos)</t>
  </si>
  <si>
    <t>GET /v1/integration/restaurants/near-event/{eventId}</t>
  </si>
  <si>
    <t>200 + envelope JSON (lista, hoy vacia)</t>
  </si>
  <si>
    <t>DATOS EDITABLES — Casos de patrón de fallo (RFt-1-G y RFt-3-S)</t>
  </si>
  <si>
    <t>Caso</t>
  </si>
  <si>
    <t>Patrón de fallo</t>
  </si>
  <si>
    <t>Petición inyectada</t>
  </si>
  <si>
    <t>Envelope JSON</t>
  </si>
  <si>
    <t>Veredicto</t>
  </si>
  <si>
    <t>Bi (inyección)</t>
  </si>
  <si>
    <t>Latencia notificación (s)</t>
  </si>
  <si>
    <t>JSON malformado</t>
  </si>
  <si>
    <t>POST /v1/auth/login</t>
  </si>
  <si>
    <t>SI</t>
  </si>
  <si>
    <t>NO_EVITADO</t>
  </si>
  <si>
    <t>12:23:54.209</t>
  </si>
  <si>
    <t>Violacion de validacion</t>
  </si>
  <si>
    <t>EVITADO</t>
  </si>
  <si>
    <t>12:23:54.524</t>
  </si>
  <si>
    <t>Credenciales incorrectas</t>
  </si>
  <si>
    <t>12:23:54.623</t>
  </si>
  <si>
    <t>Recurso inexistente</t>
  </si>
  <si>
    <t>GET /v1/restaurants/{uuid}</t>
  </si>
  <si>
    <t>12:23:55.034</t>
  </si>
  <si>
    <t>Identificador con tipo invalido</t>
  </si>
  <si>
    <t>GET /v1/restaurants/no-es-uuid</t>
  </si>
  <si>
    <t>12:23:55.072</t>
  </si>
  <si>
    <t>Ruta inexistente</t>
  </si>
  <si>
    <t>GET /v1/ruta-que-no-existe</t>
  </si>
  <si>
    <t>NO</t>
  </si>
  <si>
    <t>12:23:55.086</t>
  </si>
  <si>
    <t>Acceso sin autenticacion</t>
  </si>
  <si>
    <t>12:23:55.097</t>
  </si>
  <si>
    <t>Token corrupto</t>
  </si>
  <si>
    <t>12:23:55.129</t>
  </si>
  <si>
    <t>Metodo HTTP no soportado</t>
  </si>
  <si>
    <t>DELETE /v1/auth/login</t>
  </si>
  <si>
    <t>12:23:55.229</t>
  </si>
  <si>
    <t>Content-Type incorrecto</t>
  </si>
  <si>
    <t>12:23:55.240</t>
  </si>
  <si>
    <t>Parametro fuera de rango</t>
  </si>
  <si>
    <t>GET /v1/restaurants?page=-1&amp;size=10</t>
  </si>
  <si>
    <t>12:23:55.252</t>
  </si>
  <si>
    <t>Cuerpo vacio requerido</t>
  </si>
  <si>
    <t>12:23:55.274</t>
  </si>
  <si>
    <t>DATOS EDITABLES — Componentes del sistema (RFt-2-S)</t>
  </si>
  <si>
    <t>Componente</t>
  </si>
  <si>
    <t>Instancias (local)</t>
  </si>
  <si>
    <t>Redundante (local)</t>
  </si>
  <si>
    <t>Redundante (producción)</t>
  </si>
  <si>
    <t>Observación</t>
  </si>
  <si>
    <t>postgres</t>
  </si>
  <si>
    <t>Producción: Neon — almacenamiento replicado gestionado</t>
  </si>
  <si>
    <t>backend</t>
  </si>
  <si>
    <t>Producción: Render free — 1 sola instancia (no redundante)</t>
  </si>
  <si>
    <t>frontend</t>
  </si>
  <si>
    <t>Producción: Vercel — edge/CDN multi-nodo gestionado</t>
  </si>
  <si>
    <t xml:space="preserve"> Criterios: docs/interoperabilidad.md</t>
  </si>
  <si>
    <t xml:space="preserve"> Fuente: resultados/tolerancia a fallos/primera_ejecucion/</t>
  </si>
  <si>
    <t xml:space="preserve">Interoperabilidad: medición 2026-07-07. Tolerancia a fallos: PRIMERA EJECUCIÓN 2026-07-07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</si>
</sst>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quot; s&quot;"/>
    <numFmt numFmtId="166" formatCode="0.000"/>
  </numFmts>
  <fonts count="9" x14ac:knownFonts="1">
    <font>
      <sz val="11"/>
      <color theme="1"/>
      <name val="Calibri"/>
      <family val="2"/>
      <charset val="1"/>
    </font>
    <font>
      <b/>
      <sz val="14"/>
      <color rgb="FF1F4E78"/>
      <name val="Arial"/>
      <charset val="1"/>
    </font>
    <font>
      <i/>
      <sz val="9"/>
      <color rgb="FF595959"/>
      <name val="Arial"/>
      <charset val="1"/>
    </font>
    <font>
      <b/>
      <sz val="11"/>
      <color rgb="FFFFFFFF"/>
      <name val="Arial"/>
      <charset val="1"/>
    </font>
    <font>
      <b/>
      <sz val="10"/>
      <color rgb="FFFFFFFF"/>
      <name val="Arial"/>
      <charset val="1"/>
    </font>
    <font>
      <b/>
      <sz val="10"/>
      <name val="Arial"/>
      <charset val="1"/>
    </font>
    <font>
      <sz val="10"/>
      <name val="Arial"/>
      <charset val="1"/>
    </font>
    <font>
      <i/>
      <sz val="9"/>
      <color rgb="FF404040"/>
      <name val="Arial"/>
      <charset val="1"/>
    </font>
    <font>
      <u/>
      <sz val="11"/>
      <color theme="1"/>
      <name val="Calibri"/>
      <family val="2"/>
      <charset val="1"/>
    </font>
  </fonts>
  <fills count="6">
    <fill>
      <patternFill patternType="none"/>
    </fill>
    <fill>
      <patternFill patternType="gray125"/>
    </fill>
    <fill>
      <patternFill patternType="solid">
        <fgColor rgb="FF2E75B6"/>
        <bgColor rgb="FF0066CC"/>
      </patternFill>
    </fill>
    <fill>
      <patternFill patternType="solid">
        <fgColor rgb="FF1F4E78"/>
        <bgColor rgb="FF003366"/>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8EA9DB"/>
      </left>
      <right style="thin">
        <color rgb="FF8EA9DB"/>
      </right>
      <top style="thin">
        <color rgb="FF8EA9DB"/>
      </top>
      <bottom style="thin">
        <color rgb="FF8EA9DB"/>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0" fontId="5" fillId="5" borderId="1" xfId="0" applyFont="1" applyFill="1" applyBorder="1" applyAlignment="1">
      <alignment vertical="top" wrapText="1"/>
    </xf>
    <xf numFmtId="166" fontId="6" fillId="5" borderId="1" xfId="0" applyNumberFormat="1" applyFont="1" applyFill="1" applyBorder="1" applyAlignment="1">
      <alignment vertical="top" wrapText="1"/>
    </xf>
    <xf numFmtId="0" fontId="8" fillId="0" borderId="0" xfId="0" applyFont="1"/>
    <xf numFmtId="0" fontId="3" fillId="2" borderId="1" xfId="0" applyFont="1" applyFill="1" applyBorder="1" applyAlignment="1">
      <alignment horizontal="center" vertical="center"/>
    </xf>
    <xf numFmtId="0" fontId="7" fillId="4" borderId="1" xfId="0" applyFont="1" applyFill="1" applyBorder="1" applyAlignment="1">
      <alignment vertical="top" wrapText="1"/>
    </xf>
  </cellXfs>
  <cellStyles count="1">
    <cellStyle name="Normal" xfId="0" builtinId="0"/>
  </cellStyles>
  <dxfs count="17">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zoomScaleNormal="100" workbookViewId="0">
      <selection activeCell="J3" sqref="J3"/>
    </sheetView>
  </sheetViews>
  <sheetFormatPr baseColWidth="10" defaultColWidth="8.6640625" defaultRowHeight="14.4" x14ac:dyDescent="0.3"/>
  <cols>
    <col min="1" max="1" width="10" customWidth="1"/>
    <col min="2" max="2" width="20" customWidth="1"/>
    <col min="3" max="3" width="34" customWidth="1"/>
    <col min="4" max="4" width="46" customWidth="1"/>
    <col min="5" max="6" width="9" customWidth="1"/>
    <col min="7" max="7" width="10" customWidth="1"/>
    <col min="8" max="8" width="13" customWidth="1"/>
  </cols>
  <sheetData>
    <row r="1" spans="1:8" ht="18" customHeight="1" x14ac:dyDescent="0.3">
      <c r="A1" s="1" t="s">
        <v>0</v>
      </c>
    </row>
    <row r="2" spans="1:8" ht="14.25" customHeight="1" x14ac:dyDescent="0.3">
      <c r="A2" s="2" t="s">
        <v>133</v>
      </c>
    </row>
    <row r="4" spans="1:8" ht="19.5" customHeight="1" x14ac:dyDescent="0.3">
      <c r="A4" s="12" t="s">
        <v>1</v>
      </c>
      <c r="B4" s="12"/>
      <c r="C4" s="12"/>
      <c r="D4" s="12"/>
      <c r="E4" s="12"/>
      <c r="F4" s="12"/>
      <c r="G4" s="12"/>
      <c r="H4" s="12"/>
    </row>
    <row r="5" spans="1:8" ht="14.25" customHeight="1" x14ac:dyDescent="0.3">
      <c r="A5" s="3" t="s">
        <v>2</v>
      </c>
      <c r="B5" s="3" t="s">
        <v>3</v>
      </c>
      <c r="C5" s="3" t="s">
        <v>4</v>
      </c>
      <c r="D5" s="3" t="s">
        <v>5</v>
      </c>
      <c r="E5" s="3" t="s">
        <v>6</v>
      </c>
      <c r="F5" s="3" t="s">
        <v>7</v>
      </c>
      <c r="G5" s="3" t="s">
        <v>8</v>
      </c>
      <c r="H5" s="3" t="s">
        <v>9</v>
      </c>
    </row>
    <row r="6" spans="1:8" ht="87.75" customHeight="1" x14ac:dyDescent="0.3">
      <c r="A6" s="4" t="s">
        <v>10</v>
      </c>
      <c r="B6" s="5" t="s">
        <v>11</v>
      </c>
      <c r="C6" s="6" t="s">
        <v>12</v>
      </c>
      <c r="D6" s="6" t="s">
        <v>13</v>
      </c>
      <c r="E6" s="4">
        <f>COUNTIFS('Datos Interoperabilidad'!A5:A20,"CIn-1-G",'Datos Interoperabilidad'!E5:E20,"INTERCAMBIABLE")</f>
        <v>3</v>
      </c>
      <c r="F6" s="4">
        <f>COUNTIF('Datos Interoperabilidad'!A5:A20,"CIn-1-G")</f>
        <v>3</v>
      </c>
      <c r="G6" s="7">
        <f>E6/F6</f>
        <v>1</v>
      </c>
      <c r="H6" s="4" t="str">
        <f>IF(G6&gt;=0.9,"CUMPLE",IF(G6&gt;=0.7,"PARCIAL","NO CUMPLE"))</f>
        <v>CUMPLE</v>
      </c>
    </row>
    <row r="7" spans="1:8" ht="87.75" customHeight="1" x14ac:dyDescent="0.3">
      <c r="A7" s="4" t="s">
        <v>14</v>
      </c>
      <c r="B7" s="5" t="s">
        <v>15</v>
      </c>
      <c r="C7" s="6" t="s">
        <v>16</v>
      </c>
      <c r="D7" s="6" t="s">
        <v>17</v>
      </c>
      <c r="E7" s="4">
        <f>COUNTIFS('Datos Interoperabilidad'!A5:A20,"CIn-2-G",'Datos Interoperabilidad'!E5:E20,"SOPORTADO")</f>
        <v>3</v>
      </c>
      <c r="F7" s="4">
        <f>COUNTIF('Datos Interoperabilidad'!A5:A20,"CIn-2-G")</f>
        <v>3</v>
      </c>
      <c r="G7" s="7">
        <f>E7/F7</f>
        <v>1</v>
      </c>
      <c r="H7" s="4" t="str">
        <f>IF(G7&gt;=0.9,"CUMPLE",IF(G7&gt;=0.7,"PARCIAL","NO CUMPLE"))</f>
        <v>CUMPLE</v>
      </c>
    </row>
    <row r="8" spans="1:8" ht="87.75" customHeight="1" x14ac:dyDescent="0.3">
      <c r="A8" s="4" t="s">
        <v>18</v>
      </c>
      <c r="B8" s="5" t="s">
        <v>19</v>
      </c>
      <c r="C8" s="6" t="s">
        <v>20</v>
      </c>
      <c r="D8" s="6" t="s">
        <v>21</v>
      </c>
      <c r="E8" s="4">
        <f>COUNTIFS('Datos Interoperabilidad'!A5:A20,"CIn-3-S",'Datos Interoperabilidad'!E5:E20,"FUNCIONAL")</f>
        <v>3</v>
      </c>
      <c r="F8" s="4">
        <f>COUNTIF('Datos Interoperabilidad'!A5:A20,"CIn-3-S")</f>
        <v>3</v>
      </c>
      <c r="G8" s="7">
        <f>E8/F8</f>
        <v>1</v>
      </c>
      <c r="H8" s="4" t="str">
        <f>IF(G8&gt;=0.9,"CUMPLE",IF(G8&gt;=0.7,"PARCIAL","NO CUMPLE"))</f>
        <v>CUMPLE</v>
      </c>
    </row>
    <row r="9" spans="1:8" ht="25.5" customHeight="1" x14ac:dyDescent="0.3">
      <c r="A9" s="13" t="s">
        <v>22</v>
      </c>
      <c r="B9" s="13"/>
      <c r="C9" s="13"/>
      <c r="D9" s="13"/>
      <c r="E9" s="13"/>
      <c r="F9" s="13"/>
      <c r="G9" s="13"/>
      <c r="H9" s="13"/>
    </row>
    <row r="11" spans="1:8" ht="19.5" customHeight="1" x14ac:dyDescent="0.3">
      <c r="A11" s="12" t="s">
        <v>23</v>
      </c>
      <c r="B11" s="12"/>
      <c r="C11" s="12"/>
      <c r="D11" s="12"/>
      <c r="E11" s="12"/>
      <c r="F11" s="12"/>
      <c r="G11" s="12"/>
      <c r="H11" s="12"/>
    </row>
    <row r="12" spans="1:8" ht="14.25" customHeight="1" x14ac:dyDescent="0.3">
      <c r="A12" s="3" t="s">
        <v>2</v>
      </c>
      <c r="B12" s="3" t="s">
        <v>3</v>
      </c>
      <c r="C12" s="3" t="s">
        <v>4</v>
      </c>
      <c r="D12" s="3" t="s">
        <v>5</v>
      </c>
      <c r="E12" s="3" t="s">
        <v>6</v>
      </c>
      <c r="F12" s="3" t="s">
        <v>7</v>
      </c>
      <c r="G12" s="3" t="s">
        <v>8</v>
      </c>
      <c r="H12" s="3" t="s">
        <v>9</v>
      </c>
    </row>
    <row r="13" spans="1:8" ht="87.75" customHeight="1" x14ac:dyDescent="0.3">
      <c r="A13" s="4" t="s">
        <v>24</v>
      </c>
      <c r="B13" s="5" t="s">
        <v>25</v>
      </c>
      <c r="C13" s="6" t="s">
        <v>26</v>
      </c>
      <c r="D13" s="6" t="s">
        <v>27</v>
      </c>
      <c r="E13" s="4">
        <f>COUNTIF('Datos Casos de fallo'!F5:F40,"EVITADO")</f>
        <v>6</v>
      </c>
      <c r="F13" s="4">
        <f>COUNTA('Datos Casos de fallo'!F5:F40)</f>
        <v>12</v>
      </c>
      <c r="G13" s="7">
        <f>E13/F13</f>
        <v>0.5</v>
      </c>
      <c r="H13" s="4" t="str">
        <f>IF(G13&gt;=0.9,"CUMPLE",IF(G13&gt;=0.7,"PARCIAL","NO CUMPLE"))</f>
        <v>NO CUMPLE</v>
      </c>
    </row>
    <row r="14" spans="1:8" ht="87.75" customHeight="1" x14ac:dyDescent="0.3">
      <c r="A14" s="4" t="s">
        <v>28</v>
      </c>
      <c r="B14" s="5" t="s">
        <v>29</v>
      </c>
      <c r="C14" s="6" t="s">
        <v>30</v>
      </c>
      <c r="D14" s="6" t="s">
        <v>31</v>
      </c>
      <c r="E14" s="4">
        <f>COUNTIF('Datos Componentes'!C5:C20,"SI")</f>
        <v>0</v>
      </c>
      <c r="F14" s="4">
        <f>COUNTA('Datos Componentes'!C5:C20)</f>
        <v>3</v>
      </c>
      <c r="G14" s="7">
        <f>E14/F14</f>
        <v>0</v>
      </c>
      <c r="H14" s="4" t="str">
        <f>IF(G14&gt;=0.9,"CUMPLE",IF(G14&gt;=0.7,"PARCIAL","NO CUMPLE"))</f>
        <v>NO CUMPLE</v>
      </c>
    </row>
    <row r="15" spans="1:8" ht="87.75" customHeight="1" x14ac:dyDescent="0.3">
      <c r="A15" s="4" t="s">
        <v>28</v>
      </c>
      <c r="B15" s="5" t="s">
        <v>32</v>
      </c>
      <c r="C15" s="6" t="s">
        <v>30</v>
      </c>
      <c r="D15" s="6" t="s">
        <v>31</v>
      </c>
      <c r="E15" s="4">
        <f>COUNTIF('Datos Componentes'!D5:D20,"SI")</f>
        <v>2</v>
      </c>
      <c r="F15" s="4">
        <f>COUNTA('Datos Componentes'!D5:D20)</f>
        <v>3</v>
      </c>
      <c r="G15" s="7">
        <f>E15/F15</f>
        <v>0.66666666666666663</v>
      </c>
      <c r="H15" s="4" t="str">
        <f>IF(G15&gt;=0.9,"CUMPLE",IF(G15&gt;=0.7,"PARCIAL","NO CUMPLE"))</f>
        <v>NO CUMPLE</v>
      </c>
    </row>
    <row r="16" spans="1:8" ht="25.5" customHeight="1" x14ac:dyDescent="0.3">
      <c r="A16" s="13" t="s">
        <v>33</v>
      </c>
      <c r="B16" s="13"/>
      <c r="C16" s="13"/>
      <c r="D16" s="13"/>
      <c r="E16" s="13"/>
      <c r="F16" s="13"/>
      <c r="G16" s="13"/>
      <c r="H16" s="13"/>
    </row>
    <row r="17" spans="1:8" ht="96" customHeight="1" x14ac:dyDescent="0.3">
      <c r="A17" s="4" t="s">
        <v>34</v>
      </c>
      <c r="B17" s="5" t="s">
        <v>35</v>
      </c>
      <c r="C17" s="6" t="s">
        <v>36</v>
      </c>
      <c r="D17" s="6" t="s">
        <v>37</v>
      </c>
      <c r="E17" s="4">
        <f>SUM('Datos Casos de fallo'!H5:H40)</f>
        <v>0.95300000000000007</v>
      </c>
      <c r="F17" s="4">
        <f>COUNT('Datos Casos de fallo'!H5:H40)</f>
        <v>12</v>
      </c>
      <c r="G17" s="8">
        <f>E17/F17</f>
        <v>7.9416666666666677E-2</v>
      </c>
      <c r="H17" s="4" t="str">
        <f>IF(G17&lt;=1,"CUMPLE","NO CUMPLE")</f>
        <v>CUMPLE</v>
      </c>
    </row>
    <row r="18" spans="1:8" ht="25.5" customHeight="1" x14ac:dyDescent="0.3">
      <c r="A18" s="13" t="s">
        <v>38</v>
      </c>
      <c r="B18" s="13"/>
      <c r="C18" s="13"/>
      <c r="D18" s="13"/>
      <c r="E18" s="13"/>
      <c r="F18" s="13"/>
      <c r="G18" s="13"/>
      <c r="H18" s="13"/>
    </row>
    <row r="20" spans="1:8" ht="14.25" customHeight="1" x14ac:dyDescent="0.3">
      <c r="A20" s="2"/>
    </row>
    <row r="21" spans="1:8" ht="14.25" customHeight="1" x14ac:dyDescent="0.3">
      <c r="A21" s="2"/>
    </row>
    <row r="22" spans="1:8" ht="14.25" customHeight="1" x14ac:dyDescent="0.3">
      <c r="A22" s="2"/>
    </row>
  </sheetData>
  <mergeCells count="5">
    <mergeCell ref="A4:H4"/>
    <mergeCell ref="A9:H9"/>
    <mergeCell ref="A11:H11"/>
    <mergeCell ref="A16:H16"/>
    <mergeCell ref="A18:H18"/>
  </mergeCells>
  <conditionalFormatting sqref="G6:G8">
    <cfRule type="cellIs" dxfId="16" priority="2" operator="greaterThanOrEqual">
      <formula>0.9</formula>
    </cfRule>
    <cfRule type="cellIs" dxfId="15" priority="3" operator="between">
      <formula>0.7</formula>
      <formula>0.8999</formula>
    </cfRule>
    <cfRule type="cellIs" dxfId="14" priority="4" operator="lessThan">
      <formula>0.7</formula>
    </cfRule>
  </conditionalFormatting>
  <conditionalFormatting sqref="G13:G15">
    <cfRule type="cellIs" dxfId="13" priority="5" operator="greaterThanOrEqual">
      <formula>0.9</formula>
    </cfRule>
    <cfRule type="cellIs" dxfId="12" priority="6" operator="between">
      <formula>0.7</formula>
      <formula>0.8999</formula>
    </cfRule>
    <cfRule type="cellIs" dxfId="11" priority="7" operator="lessThan">
      <formula>0.7</formula>
    </cfRule>
  </conditionalFormatting>
  <conditionalFormatting sqref="G17">
    <cfRule type="cellIs" dxfId="10" priority="8" operator="lessThanOrEqual">
      <formula>1</formula>
    </cfRule>
    <cfRule type="cellIs" dxfId="9" priority="9" operator="greaterThan">
      <formula>1</formula>
    </cfRule>
  </conditionalFormatting>
  <conditionalFormatting sqref="H6:H8">
    <cfRule type="cellIs" dxfId="8" priority="10" operator="equal">
      <formula>"CUMPLE"</formula>
    </cfRule>
    <cfRule type="cellIs" dxfId="7" priority="11" operator="equal">
      <formula>"PARCIAL"</formula>
    </cfRule>
    <cfRule type="cellIs" dxfId="6" priority="12" operator="equal">
      <formula>"NO CUMPLE"</formula>
    </cfRule>
  </conditionalFormatting>
  <conditionalFormatting sqref="H13:H15">
    <cfRule type="cellIs" dxfId="5" priority="13" operator="equal">
      <formula>"CUMPLE"</formula>
    </cfRule>
    <cfRule type="cellIs" dxfId="4" priority="14" operator="equal">
      <formula>"PARCIAL"</formula>
    </cfRule>
    <cfRule type="cellIs" dxfId="3" priority="15" operator="equal">
      <formula>"NO CUMPLE"</formula>
    </cfRule>
  </conditionalFormatting>
  <conditionalFormatting sqref="H17">
    <cfRule type="cellIs" dxfId="2" priority="16" operator="equal">
      <formula>"CUMPLE"</formula>
    </cfRule>
    <cfRule type="cellIs" dxfId="1" priority="17" operator="equal">
      <formula>"PARCIAL"</formula>
    </cfRule>
    <cfRule type="cellIs" dxfId="0" priority="18" operator="equal">
      <formula>"NO CUMPLE"</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Normal="100" workbookViewId="0">
      <pane ySplit="4" topLeftCell="A5" activePane="bottomLeft" state="frozen"/>
      <selection pane="bottomLeft" activeCell="C10" sqref="C10"/>
    </sheetView>
  </sheetViews>
  <sheetFormatPr baseColWidth="10" defaultColWidth="8.6640625" defaultRowHeight="14.4" x14ac:dyDescent="0.3"/>
  <cols>
    <col min="1" max="1" width="10" customWidth="1"/>
    <col min="2" max="2" width="32" customWidth="1"/>
    <col min="3" max="3" width="40" customWidth="1"/>
    <col min="4" max="4" width="11" customWidth="1"/>
    <col min="5" max="5" width="18" customWidth="1"/>
    <col min="6" max="6" width="46" customWidth="1"/>
  </cols>
  <sheetData>
    <row r="1" spans="1:6" ht="18" customHeight="1" x14ac:dyDescent="0.3">
      <c r="A1" s="1" t="s">
        <v>39</v>
      </c>
    </row>
    <row r="2" spans="1:6" ht="14.25" customHeight="1" x14ac:dyDescent="0.3">
      <c r="A2" s="2" t="s">
        <v>131</v>
      </c>
    </row>
    <row r="4" spans="1:6" ht="25.5" customHeight="1" x14ac:dyDescent="0.3">
      <c r="A4" s="3" t="s">
        <v>40</v>
      </c>
      <c r="B4" s="3" t="s">
        <v>41</v>
      </c>
      <c r="C4" s="3" t="s">
        <v>42</v>
      </c>
      <c r="D4" s="3" t="s">
        <v>43</v>
      </c>
      <c r="E4" s="3" t="s">
        <v>44</v>
      </c>
      <c r="F4" s="3" t="s">
        <v>45</v>
      </c>
    </row>
    <row r="5" spans="1:6" ht="14.25" customHeight="1" x14ac:dyDescent="0.3">
      <c r="A5" s="6" t="s">
        <v>10</v>
      </c>
      <c r="B5" s="6" t="s">
        <v>46</v>
      </c>
      <c r="C5" s="6" t="s">
        <v>47</v>
      </c>
      <c r="D5" s="6" t="s">
        <v>48</v>
      </c>
      <c r="E5" s="9" t="s">
        <v>49</v>
      </c>
      <c r="F5" s="6" t="s">
        <v>50</v>
      </c>
    </row>
    <row r="6" spans="1:6" ht="14.25" customHeight="1" x14ac:dyDescent="0.3">
      <c r="A6" s="6" t="s">
        <v>10</v>
      </c>
      <c r="B6" s="6" t="s">
        <v>51</v>
      </c>
      <c r="C6" s="6" t="s">
        <v>52</v>
      </c>
      <c r="D6" s="6" t="s">
        <v>48</v>
      </c>
      <c r="E6" s="9" t="s">
        <v>49</v>
      </c>
      <c r="F6" s="6" t="s">
        <v>53</v>
      </c>
    </row>
    <row r="7" spans="1:6" ht="14.25" customHeight="1" x14ac:dyDescent="0.3">
      <c r="A7" s="6" t="s">
        <v>10</v>
      </c>
      <c r="B7" s="6" t="s">
        <v>54</v>
      </c>
      <c r="C7" s="6" t="s">
        <v>55</v>
      </c>
      <c r="D7" s="6" t="s">
        <v>48</v>
      </c>
      <c r="E7" s="9" t="s">
        <v>49</v>
      </c>
      <c r="F7" s="6" t="s">
        <v>56</v>
      </c>
    </row>
    <row r="8" spans="1:6" ht="14.25" customHeight="1" x14ac:dyDescent="0.3">
      <c r="A8" s="6" t="s">
        <v>14</v>
      </c>
      <c r="B8" s="6" t="s">
        <v>57</v>
      </c>
      <c r="C8" s="6" t="s">
        <v>47</v>
      </c>
      <c r="D8" s="6" t="s">
        <v>48</v>
      </c>
      <c r="E8" s="9" t="s">
        <v>58</v>
      </c>
      <c r="F8" s="6" t="s">
        <v>59</v>
      </c>
    </row>
    <row r="9" spans="1:6" ht="14.25" customHeight="1" x14ac:dyDescent="0.3">
      <c r="A9" s="6" t="s">
        <v>14</v>
      </c>
      <c r="B9" s="6" t="s">
        <v>60</v>
      </c>
      <c r="C9" s="6" t="s">
        <v>61</v>
      </c>
      <c r="D9" s="6" t="s">
        <v>62</v>
      </c>
      <c r="E9" s="9" t="s">
        <v>58</v>
      </c>
      <c r="F9" s="6" t="s">
        <v>63</v>
      </c>
    </row>
    <row r="10" spans="1:6" ht="14.25" customHeight="1" x14ac:dyDescent="0.3">
      <c r="A10" s="6" t="s">
        <v>14</v>
      </c>
      <c r="B10" s="6" t="s">
        <v>64</v>
      </c>
      <c r="C10" s="6" t="s">
        <v>65</v>
      </c>
      <c r="D10" s="6" t="s">
        <v>48</v>
      </c>
      <c r="E10" s="9" t="s">
        <v>58</v>
      </c>
      <c r="F10" s="6" t="s">
        <v>66</v>
      </c>
    </row>
    <row r="11" spans="1:6" ht="24.75" customHeight="1" x14ac:dyDescent="0.3">
      <c r="A11" s="6" t="s">
        <v>18</v>
      </c>
      <c r="B11" s="6" t="s">
        <v>67</v>
      </c>
      <c r="C11" s="6" t="s">
        <v>68</v>
      </c>
      <c r="D11" s="6" t="s">
        <v>48</v>
      </c>
      <c r="E11" s="9" t="s">
        <v>69</v>
      </c>
      <c r="F11" s="6" t="s">
        <v>70</v>
      </c>
    </row>
    <row r="12" spans="1:6" ht="24.75" customHeight="1" x14ac:dyDescent="0.3">
      <c r="A12" s="6" t="s">
        <v>18</v>
      </c>
      <c r="B12" s="6" t="s">
        <v>71</v>
      </c>
      <c r="C12" s="6" t="s">
        <v>72</v>
      </c>
      <c r="D12" s="6" t="s">
        <v>48</v>
      </c>
      <c r="E12" s="9" t="s">
        <v>69</v>
      </c>
      <c r="F12" s="6" t="s">
        <v>73</v>
      </c>
    </row>
    <row r="13" spans="1:6" ht="24.75" customHeight="1" x14ac:dyDescent="0.3">
      <c r="A13" s="6" t="s">
        <v>18</v>
      </c>
      <c r="B13" s="6" t="s">
        <v>74</v>
      </c>
      <c r="C13" s="6" t="s">
        <v>75</v>
      </c>
      <c r="D13" s="6" t="s">
        <v>48</v>
      </c>
      <c r="E13" s="9" t="s">
        <v>69</v>
      </c>
      <c r="F13" s="6" t="s">
        <v>76</v>
      </c>
    </row>
  </sheetData>
  <dataValidations count="1">
    <dataValidation type="list" sqref="E5:E13" xr:uid="{00000000-0002-0000-0100-000000000000}">
      <formula1>"INTERCAMBIABLE,SOPORTADO,FUNCIONAL,NO_CUMPLE"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zoomScaleNormal="100" workbookViewId="0">
      <pane ySplit="4" topLeftCell="A8" activePane="bottomLeft" state="frozen"/>
      <selection pane="bottomLeft" activeCell="C19" sqref="C19"/>
    </sheetView>
  </sheetViews>
  <sheetFormatPr baseColWidth="10" defaultColWidth="8.6640625" defaultRowHeight="14.4" x14ac:dyDescent="0.3"/>
  <cols>
    <col min="1" max="1" width="7" customWidth="1"/>
    <col min="2" max="2" width="25" customWidth="1"/>
    <col min="3" max="3" width="48" customWidth="1"/>
    <col min="4" max="4" width="11" customWidth="1"/>
    <col min="5" max="5" width="12" customWidth="1"/>
    <col min="6" max="6" width="13" customWidth="1"/>
    <col min="7" max="7" width="14" customWidth="1"/>
    <col min="8" max="8" width="13" customWidth="1"/>
  </cols>
  <sheetData>
    <row r="1" spans="1:8" ht="18" customHeight="1" x14ac:dyDescent="0.3">
      <c r="A1" s="1" t="s">
        <v>77</v>
      </c>
    </row>
    <row r="2" spans="1:8" ht="14.25" customHeight="1" x14ac:dyDescent="0.3">
      <c r="A2" s="2" t="s">
        <v>132</v>
      </c>
    </row>
    <row r="4" spans="1:8" ht="39" customHeight="1" x14ac:dyDescent="0.3">
      <c r="A4" s="3" t="s">
        <v>78</v>
      </c>
      <c r="B4" s="3" t="s">
        <v>79</v>
      </c>
      <c r="C4" s="3" t="s">
        <v>80</v>
      </c>
      <c r="D4" s="3" t="s">
        <v>43</v>
      </c>
      <c r="E4" s="3" t="s">
        <v>81</v>
      </c>
      <c r="F4" s="3" t="s">
        <v>82</v>
      </c>
      <c r="G4" s="3" t="s">
        <v>83</v>
      </c>
      <c r="H4" s="3" t="s">
        <v>84</v>
      </c>
    </row>
    <row r="5" spans="1:8" ht="14.25" customHeight="1" x14ac:dyDescent="0.3">
      <c r="A5" s="6">
        <v>1</v>
      </c>
      <c r="B5" s="6" t="s">
        <v>85</v>
      </c>
      <c r="C5" s="6" t="s">
        <v>86</v>
      </c>
      <c r="D5" s="6">
        <v>500</v>
      </c>
      <c r="E5" s="6" t="s">
        <v>87</v>
      </c>
      <c r="F5" s="9" t="s">
        <v>88</v>
      </c>
      <c r="G5" s="6" t="s">
        <v>89</v>
      </c>
      <c r="H5" s="10">
        <v>0.24199999999999999</v>
      </c>
    </row>
    <row r="6" spans="1:8" ht="14.25" customHeight="1" x14ac:dyDescent="0.3">
      <c r="A6" s="6">
        <v>2</v>
      </c>
      <c r="B6" s="6" t="s">
        <v>90</v>
      </c>
      <c r="C6" s="6" t="s">
        <v>86</v>
      </c>
      <c r="D6" s="6">
        <v>400</v>
      </c>
      <c r="E6" s="6" t="s">
        <v>87</v>
      </c>
      <c r="F6" s="9" t="s">
        <v>91</v>
      </c>
      <c r="G6" s="6" t="s">
        <v>92</v>
      </c>
      <c r="H6" s="10">
        <v>9.4E-2</v>
      </c>
    </row>
    <row r="7" spans="1:8" ht="14.25" customHeight="1" x14ac:dyDescent="0.3">
      <c r="A7" s="6">
        <v>3</v>
      </c>
      <c r="B7" s="6" t="s">
        <v>93</v>
      </c>
      <c r="C7" s="6" t="s">
        <v>86</v>
      </c>
      <c r="D7" s="6">
        <v>401</v>
      </c>
      <c r="E7" s="6" t="s">
        <v>87</v>
      </c>
      <c r="F7" s="9" t="s">
        <v>91</v>
      </c>
      <c r="G7" s="6" t="s">
        <v>94</v>
      </c>
      <c r="H7" s="10">
        <v>0.40799999999999997</v>
      </c>
    </row>
    <row r="8" spans="1:8" ht="24.75" customHeight="1" x14ac:dyDescent="0.3">
      <c r="A8" s="6">
        <v>4</v>
      </c>
      <c r="B8" s="6" t="s">
        <v>95</v>
      </c>
      <c r="C8" s="6" t="s">
        <v>96</v>
      </c>
      <c r="D8" s="6">
        <v>404</v>
      </c>
      <c r="E8" s="6" t="s">
        <v>87</v>
      </c>
      <c r="F8" s="9" t="s">
        <v>91</v>
      </c>
      <c r="G8" s="6" t="s">
        <v>97</v>
      </c>
      <c r="H8" s="10">
        <v>3.5000000000000003E-2</v>
      </c>
    </row>
    <row r="9" spans="1:8" ht="14.25" customHeight="1" x14ac:dyDescent="0.3">
      <c r="A9" s="6">
        <v>5</v>
      </c>
      <c r="B9" s="6" t="s">
        <v>98</v>
      </c>
      <c r="C9" s="6" t="s">
        <v>99</v>
      </c>
      <c r="D9" s="6">
        <v>500</v>
      </c>
      <c r="E9" s="6" t="s">
        <v>87</v>
      </c>
      <c r="F9" s="9" t="s">
        <v>88</v>
      </c>
      <c r="G9" s="6" t="s">
        <v>100</v>
      </c>
      <c r="H9" s="10">
        <v>1.0999999999999999E-2</v>
      </c>
    </row>
    <row r="10" spans="1:8" ht="14.25" customHeight="1" x14ac:dyDescent="0.3">
      <c r="A10" s="6">
        <v>6</v>
      </c>
      <c r="B10" s="6" t="s">
        <v>101</v>
      </c>
      <c r="C10" s="6" t="s">
        <v>102</v>
      </c>
      <c r="D10" s="6">
        <v>403</v>
      </c>
      <c r="E10" s="6" t="s">
        <v>103</v>
      </c>
      <c r="F10" s="9" t="s">
        <v>91</v>
      </c>
      <c r="G10" s="6" t="s">
        <v>104</v>
      </c>
      <c r="H10" s="10">
        <v>8.9999999999999993E-3</v>
      </c>
    </row>
    <row r="11" spans="1:8" ht="14.25" customHeight="1" x14ac:dyDescent="0.3">
      <c r="A11" s="6">
        <v>7</v>
      </c>
      <c r="B11" s="6" t="s">
        <v>105</v>
      </c>
      <c r="C11" s="6" t="s">
        <v>68</v>
      </c>
      <c r="D11" s="6">
        <v>403</v>
      </c>
      <c r="E11" s="6" t="s">
        <v>103</v>
      </c>
      <c r="F11" s="9" t="s">
        <v>91</v>
      </c>
      <c r="G11" s="6" t="s">
        <v>106</v>
      </c>
      <c r="H11" s="10">
        <v>7.0000000000000001E-3</v>
      </c>
    </row>
    <row r="12" spans="1:8" ht="14.25" customHeight="1" x14ac:dyDescent="0.3">
      <c r="A12" s="6">
        <v>8</v>
      </c>
      <c r="B12" s="6" t="s">
        <v>107</v>
      </c>
      <c r="C12" s="6" t="s">
        <v>68</v>
      </c>
      <c r="D12" s="6">
        <v>403</v>
      </c>
      <c r="E12" s="6" t="s">
        <v>103</v>
      </c>
      <c r="F12" s="9" t="s">
        <v>91</v>
      </c>
      <c r="G12" s="6" t="s">
        <v>108</v>
      </c>
      <c r="H12" s="10">
        <v>9.8000000000000004E-2</v>
      </c>
    </row>
    <row r="13" spans="1:8" ht="14.25" customHeight="1" x14ac:dyDescent="0.3">
      <c r="A13" s="6">
        <v>9</v>
      </c>
      <c r="B13" s="6" t="s">
        <v>109</v>
      </c>
      <c r="C13" s="6" t="s">
        <v>110</v>
      </c>
      <c r="D13" s="6">
        <v>500</v>
      </c>
      <c r="E13" s="6" t="s">
        <v>87</v>
      </c>
      <c r="F13" s="9" t="s">
        <v>88</v>
      </c>
      <c r="G13" s="6" t="s">
        <v>111</v>
      </c>
      <c r="H13" s="10">
        <v>8.0000000000000002E-3</v>
      </c>
    </row>
    <row r="14" spans="1:8" ht="14.25" customHeight="1" x14ac:dyDescent="0.3">
      <c r="A14" s="6">
        <v>10</v>
      </c>
      <c r="B14" s="6" t="s">
        <v>112</v>
      </c>
      <c r="C14" s="6" t="s">
        <v>86</v>
      </c>
      <c r="D14" s="6">
        <v>500</v>
      </c>
      <c r="E14" s="6" t="s">
        <v>87</v>
      </c>
      <c r="F14" s="9" t="s">
        <v>88</v>
      </c>
      <c r="G14" s="6" t="s">
        <v>113</v>
      </c>
      <c r="H14" s="10">
        <v>1.0999999999999999E-2</v>
      </c>
    </row>
    <row r="15" spans="1:8" ht="24.75" customHeight="1" x14ac:dyDescent="0.3">
      <c r="A15" s="6">
        <v>11</v>
      </c>
      <c r="B15" s="6" t="s">
        <v>114</v>
      </c>
      <c r="C15" s="6" t="s">
        <v>115</v>
      </c>
      <c r="D15" s="6">
        <v>500</v>
      </c>
      <c r="E15" s="6" t="s">
        <v>87</v>
      </c>
      <c r="F15" s="9" t="s">
        <v>88</v>
      </c>
      <c r="G15" s="6" t="s">
        <v>116</v>
      </c>
      <c r="H15" s="10">
        <v>0.02</v>
      </c>
    </row>
    <row r="16" spans="1:8" ht="14.25" customHeight="1" x14ac:dyDescent="0.3">
      <c r="A16" s="6">
        <v>12</v>
      </c>
      <c r="B16" s="6" t="s">
        <v>117</v>
      </c>
      <c r="C16" s="6" t="s">
        <v>86</v>
      </c>
      <c r="D16" s="6">
        <v>500</v>
      </c>
      <c r="E16" s="6" t="s">
        <v>87</v>
      </c>
      <c r="F16" s="9" t="s">
        <v>88</v>
      </c>
      <c r="G16" s="6" t="s">
        <v>118</v>
      </c>
      <c r="H16" s="10">
        <v>0.01</v>
      </c>
    </row>
  </sheetData>
  <dataValidations count="1">
    <dataValidation type="list" sqref="F5:F16" xr:uid="{00000000-0002-0000-0200-000000000000}">
      <formula1>"EVITADO,NO_EVITADO"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tabSelected="1" zoomScaleNormal="100" workbookViewId="0">
      <pane ySplit="4" topLeftCell="A5" activePane="bottomLeft" state="frozen"/>
      <selection pane="bottomLeft" activeCell="D13" sqref="D13"/>
    </sheetView>
  </sheetViews>
  <sheetFormatPr baseColWidth="10" defaultColWidth="8.6640625" defaultRowHeight="14.4" x14ac:dyDescent="0.3"/>
  <cols>
    <col min="1" max="1" width="26" customWidth="1"/>
    <col min="2" max="2" width="15" customWidth="1"/>
    <col min="3" max="3" width="16" customWidth="1"/>
    <col min="4" max="4" width="20" customWidth="1"/>
    <col min="5" max="5" width="52" customWidth="1"/>
  </cols>
  <sheetData>
    <row r="1" spans="1:5" ht="18" customHeight="1" x14ac:dyDescent="0.3">
      <c r="A1" s="1" t="s">
        <v>119</v>
      </c>
    </row>
    <row r="2" spans="1:5" ht="14.25" customHeight="1" x14ac:dyDescent="0.3">
      <c r="A2" s="2"/>
    </row>
    <row r="4" spans="1:5" ht="25.5" customHeight="1" x14ac:dyDescent="0.3">
      <c r="A4" s="3" t="s">
        <v>120</v>
      </c>
      <c r="B4" s="3" t="s">
        <v>121</v>
      </c>
      <c r="C4" s="3" t="s">
        <v>122</v>
      </c>
      <c r="D4" s="3" t="s">
        <v>123</v>
      </c>
      <c r="E4" s="3" t="s">
        <v>124</v>
      </c>
    </row>
    <row r="5" spans="1:5" ht="14.25" customHeight="1" x14ac:dyDescent="0.3">
      <c r="A5" s="6" t="s">
        <v>125</v>
      </c>
      <c r="B5" s="6">
        <v>1</v>
      </c>
      <c r="C5" s="9" t="s">
        <v>103</v>
      </c>
      <c r="D5" s="9" t="s">
        <v>87</v>
      </c>
      <c r="E5" s="6" t="s">
        <v>126</v>
      </c>
    </row>
    <row r="6" spans="1:5" ht="14.25" customHeight="1" x14ac:dyDescent="0.3">
      <c r="A6" s="6" t="s">
        <v>127</v>
      </c>
      <c r="B6" s="6">
        <v>1</v>
      </c>
      <c r="C6" s="9" t="s">
        <v>103</v>
      </c>
      <c r="D6" s="9" t="s">
        <v>103</v>
      </c>
      <c r="E6" s="6" t="s">
        <v>128</v>
      </c>
    </row>
    <row r="7" spans="1:5" ht="14.25" customHeight="1" x14ac:dyDescent="0.3">
      <c r="A7" s="6" t="s">
        <v>129</v>
      </c>
      <c r="B7" s="6">
        <v>1</v>
      </c>
      <c r="C7" s="9" t="s">
        <v>103</v>
      </c>
      <c r="D7" s="9" t="s">
        <v>87</v>
      </c>
      <c r="E7" s="6" t="s">
        <v>130</v>
      </c>
    </row>
    <row r="8" spans="1:5" ht="23.25" customHeight="1" x14ac:dyDescent="0.3"/>
    <row r="13" spans="1:5" x14ac:dyDescent="0.3">
      <c r="D13" s="11"/>
    </row>
  </sheetData>
  <dataValidations count="1">
    <dataValidation type="list" sqref="C5:D7" xr:uid="{00000000-0002-0000-0300-000000000000}">
      <formula1>"SI,NO"</formula1>
      <formula2>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vt:lpstr>
      <vt:lpstr>Datos Interoperabilidad</vt:lpstr>
      <vt:lpstr>Datos Casos de fallo</vt:lpstr>
      <vt:lpstr>Datos Componentes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BILY ALEXIS ALARCON GOMEZ</cp:lastModifiedBy>
  <cp:revision>0</cp:revision>
  <dcterms:created xsi:type="dcterms:W3CDTF">2026-07-04T21:38:25Z</dcterms:created>
  <dcterms:modified xsi:type="dcterms:W3CDTF">2026-07-08T12:40:45Z</dcterms:modified>
  <dc:language>en-US</dc:language>
</cp:coreProperties>
</file>