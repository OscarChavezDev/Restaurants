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Datos Interoperabilidad" sheetId="2" state="visible" r:id="rId4"/>
    <sheet name="Datos Casos de fallo" sheetId="3" state="visible" r:id="rId5"/>
    <sheet name="Datos Componen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<sst xmlns="http://schemas.openxmlformats.org/spreadsheetml/2006/main" count="202" uniqueCount="135">
  <si>
    <t xml:space="preserve">Mediciones de calidad ISO/IEC 25023 — Sistema de Restaurantes de Tingo María</t>
  </si>
  <si>
    <t xml:space="preserve">Interoperabilidad: medición 2026-07-04. Tolerancia a fallos: PRIMERA EJECUCIÓN 2026-07-07 (con 6 fallos no evitados; la segunda ejecución tras la corrección dio X = 1.0). Entorno local Docker Compose. A, B y X son fórmulas vivas.</t>
  </si>
  <si>
    <t xml:space="preserve">Tabla 8 — Medidas de interoperabilidad  (Compatibilidad → Interoperabilidad)</t>
  </si>
  <si>
    <t xml:space="preserve">ID</t>
  </si>
  <si>
    <t xml:space="preserve">Nombre</t>
  </si>
  <si>
    <t xml:space="preserve">Descripción</t>
  </si>
  <si>
    <t xml:space="preserve">Función de medición</t>
  </si>
  <si>
    <t xml:space="preserve">A</t>
  </si>
  <si>
    <t xml:space="preserve">B</t>
  </si>
  <si>
    <t xml:space="preserve">X</t>
  </si>
  <si>
    <t xml:space="preserve">Evaluación</t>
  </si>
  <si>
    <t xml:space="preserve">CIn-1-G</t>
  </si>
  <si>
    <t xml:space="preserve">Intercambiabilidad de formatos de datos</t>
  </si>
  <si>
    <t xml:space="preserve">¿Qué proporción de los formatos de datos especificados es intercambiable con otro software o sistema?</t>
  </si>
  <si>
    <t xml:space="preserve">X = A/B
A = Número de formatos de datos intercambiables con otro software o sistemas
B = Número de formatos de datos especificados como intercambiables</t>
  </si>
  <si>
    <t xml:space="preserve">CIn-2-G</t>
  </si>
  <si>
    <t xml:space="preserve">Suficiencia del protocolo de intercambio de datos</t>
  </si>
  <si>
    <t xml:space="preserve">¿Qué proporción de los protocolos de intercambio de datos especificados está soportada?</t>
  </si>
  <si>
    <t xml:space="preserve">X = A/B
A = Número de protocolos de intercambio de datos soportados
B = Número de protocolos de intercambio de datos especificados para ser soportados</t>
  </si>
  <si>
    <t xml:space="preserve">CIn-3-S</t>
  </si>
  <si>
    <t xml:space="preserve">Adecuación de interfaces externas</t>
  </si>
  <si>
    <t xml:space="preserve">¿Qué proporción de las interfaces externas especificadas (interfaces con otros programas y sistemas) es funcional?</t>
  </si>
  <si>
    <t xml:space="preserve">X = A/B
A = Número de interfaces externas que son funcionales
B = Número de interfaces externas especificadas</t>
  </si>
  <si>
    <t xml:space="preserve">NOTA: Los ítems especificados y su evidencia están en la hoja 'Datos Interoperabilidad'. Un ítem cuenta para A solo si cumple el criterio de docs/interoperabilidad.md (estado HTTP esperado + JSON válido + envelope).</t>
  </si>
  <si>
    <t xml:space="preserve">Tabla 17 — Medidas de tolerancia a fallos  (Fiabilidad → Tolerancia a fallos)</t>
  </si>
  <si>
    <t xml:space="preserve">RFt-1-G</t>
  </si>
  <si>
    <t xml:space="preserve">Evitación de fallos</t>
  </si>
  <si>
    <t xml:space="preserve">¿Qué proporción de patrones de fallo se ha controlado para evitar fallos críticos y graves?</t>
  </si>
  <si>
    <t xml:space="preserve">X = A/B
A = Número de fallos críticos y graves evitados (basado en casos de prueba)
B = Número de casos de prueba ejecutados de patrón de fallo (casi provocando fallos) durante las pruebas</t>
  </si>
  <si>
    <t xml:space="preserve">RFt-2-S</t>
  </si>
  <si>
    <t xml:space="preserve">Redundancia de componentes (entorno local)</t>
  </si>
  <si>
    <t xml:space="preserve">¿Qué proporción de componentes del sistema se instala de forma redundante para evitar fallos del sistema?</t>
  </si>
  <si>
    <t xml:space="preserve">X = A/B
A = Número de componentes del sistema instalados de forma redundante
B = Número de componentes del sistema</t>
  </si>
  <si>
    <t xml:space="preserve">Redundancia de componentes (entorno producción)</t>
  </si>
  <si>
    <t xml:space="preserve">NOTA Por ejemplo, en muchos sistemas críticos para la seguridad, algunas partes del sistema de control podrían duplicarse con la intención de aumentar la fiabilidad del mismo. En este sistema, 'restart: unless-stopped' de Docker aporta recuperación automática pero NO cuenta como redundancia.</t>
  </si>
  <si>
    <t xml:space="preserve">RFt-3-S</t>
  </si>
  <si>
    <t xml:space="preserve">Tiempo medio de notificación de fallo</t>
  </si>
  <si>
    <t xml:space="preserve">¿Con qué rapidez informa el sistema sobre la aparición de fallos?</t>
  </si>
  <si>
    <t xml:space="preserve">X = Σ (Ai − Bi) / n
Ai = Tiempo en el que el sistema reporta el fallo i
Bi = Tiempo en el que se detecta la falla i
n = Número de fallos detectados</t>
  </si>
  <si>
    <t xml:space="preserve">NOTA: El valor del resultado varía de 0 a infinito. Normalmente, cuanto más cerca de 0, mejor. Aquí A = Σ(Ai−Bi) en segundos y B = n (número de fallos inyectados).</t>
  </si>
  <si>
    <t xml:space="preserve">DATOS EDITABLES — Pruebas de interoperabilidad</t>
  </si>
  <si>
    <t xml:space="preserve">Cambia la columna 'Resultado' (lista desplegable) y el Resumen se recalcula automáticamente. Criterios: docs/interoperabilidad.md</t>
  </si>
  <si>
    <t xml:space="preserve">Medida</t>
  </si>
  <si>
    <t xml:space="preserve">Ítem probado</t>
  </si>
  <si>
    <t xml:space="preserve">Prueba (petición)</t>
  </si>
  <si>
    <t xml:space="preserve">Estado HTTP</t>
  </si>
  <si>
    <t xml:space="preserve">Resultado</t>
  </si>
  <si>
    <t xml:space="preserve">Evidencia</t>
  </si>
  <si>
    <t xml:space="preserve">JSON envelope ApiResponse</t>
  </si>
  <si>
    <t xml:space="preserve">GET /v1/restaurants</t>
  </si>
  <si>
    <t xml:space="preserve">200</t>
  </si>
  <si>
    <t xml:space="preserve">INTERCAMBIABLE</t>
  </si>
  <si>
    <t xml:space="preserve">JSON valido con campos success y data</t>
  </si>
  <si>
    <t xml:space="preserve">OpenAPI 3 (contrato JSON)</t>
  </si>
  <si>
    <t xml:space="preserve">GET /v3/api-docs</t>
  </si>
  <si>
    <t xml:space="preserve">JSON valido con campo openapi</t>
  </si>
  <si>
    <t xml:space="preserve">JWT (RFC 7519)</t>
  </si>
  <si>
    <t xml:space="preserve">POST /v1/auth/login -&gt; accessToken</t>
  </si>
  <si>
    <t xml:space="preserve">Token con estructura header.payload.signature</t>
  </si>
  <si>
    <t xml:space="preserve">HTTP/1.1 (REST)</t>
  </si>
  <si>
    <t xml:space="preserve">SOPORTADO</t>
  </si>
  <si>
    <t xml:space="preserve">Respuesta 200 sobre HTTP</t>
  </si>
  <si>
    <t xml:space="preserve">Autenticacion Bearer JWT (RFC 6750)</t>
  </si>
  <si>
    <t xml:space="preserve">GET /v1/integration/restaurants con y sin token</t>
  </si>
  <si>
    <t xml:space="preserve">200/403</t>
  </si>
  <si>
    <t xml:space="preserve">200 con token; 401/403 sin token</t>
  </si>
  <si>
    <t xml:space="preserve">CORS (preflight)</t>
  </si>
  <si>
    <t xml:space="preserve">OPTIONS /v1/restaurants con Origin</t>
  </si>
  <si>
    <t xml:space="preserve">Cabecera Access-Control-Allow-Origin presente</t>
  </si>
  <si>
    <t xml:space="preserve">Catalogo de restaurantes (Turismo/Transporte)</t>
  </si>
  <si>
    <t xml:space="preserve">GET /v1/integration/restaurants</t>
  </si>
  <si>
    <t xml:space="preserve">FUNCIONAL</t>
  </si>
  <si>
    <t xml:space="preserve">200 + envelope JSON</t>
  </si>
  <si>
    <t xml:space="preserve">Disponibilidad de restaurante (Hoteles)</t>
  </si>
  <si>
    <t xml:space="preserve">GET /v1/integration/restaurants/{id}/availability</t>
  </si>
  <si>
    <t xml:space="preserve">200 + envelope JSON con datos del restaurante</t>
  </si>
  <si>
    <t xml:space="preserve">Restaurantes cerca de evento (Eventos)</t>
  </si>
  <si>
    <t xml:space="preserve">GET /v1/integration/restaurants/near-event/{eventId}</t>
  </si>
  <si>
    <t xml:space="preserve">200 + envelope JSON (lista, hoy vacia)</t>
  </si>
  <si>
    <t xml:space="preserve">DATOS EDITABLES — Casos de patrón de fallo (RFt-1-G y RFt-3-S)</t>
  </si>
  <si>
    <t xml:space="preserve">Datos de la PRIMERA EJECUCION (2026-07-07 12:23, local). Cambia 'Veredicto' o 'Latencia (s)' y el Resumen se recalcula. Fuente: resultados/tolerancia a fallos/primera_ejecucion/</t>
  </si>
  <si>
    <t xml:space="preserve">Caso</t>
  </si>
  <si>
    <t xml:space="preserve">Patrón de fallo</t>
  </si>
  <si>
    <t xml:space="preserve">Petición inyectada</t>
  </si>
  <si>
    <t xml:space="preserve">Envelope JSON</t>
  </si>
  <si>
    <t xml:space="preserve">Veredicto</t>
  </si>
  <si>
    <t xml:space="preserve">Bi (inyección)</t>
  </si>
  <si>
    <t xml:space="preserve">Latencia notificación (s)</t>
  </si>
  <si>
    <t xml:space="preserve">JSON malformado</t>
  </si>
  <si>
    <t xml:space="preserve">POST /v1/auth/login</t>
  </si>
  <si>
    <t xml:space="preserve">SI</t>
  </si>
  <si>
    <t xml:space="preserve">NO_EVITADO</t>
  </si>
  <si>
    <t xml:space="preserve">12:23:54.209</t>
  </si>
  <si>
    <t xml:space="preserve">Violacion de validacion</t>
  </si>
  <si>
    <t xml:space="preserve">EVITADO</t>
  </si>
  <si>
    <t xml:space="preserve">12:23:54.524</t>
  </si>
  <si>
    <t xml:space="preserve">Credenciales incorrectas</t>
  </si>
  <si>
    <t xml:space="preserve">12:23:54.623</t>
  </si>
  <si>
    <t xml:space="preserve">Recurso inexistente</t>
  </si>
  <si>
    <t xml:space="preserve">GET /v1/restaurants/{uuid}</t>
  </si>
  <si>
    <t xml:space="preserve">12:23:55.034</t>
  </si>
  <si>
    <t xml:space="preserve">Identificador con tipo invalido</t>
  </si>
  <si>
    <t xml:space="preserve">GET /v1/restaurants/no-es-uuid</t>
  </si>
  <si>
    <t xml:space="preserve">12:23:55.072</t>
  </si>
  <si>
    <t xml:space="preserve">Ruta inexistente</t>
  </si>
  <si>
    <t xml:space="preserve">GET /v1/ruta-que-no-existe</t>
  </si>
  <si>
    <t xml:space="preserve">NO</t>
  </si>
  <si>
    <t xml:space="preserve">12:23:55.086</t>
  </si>
  <si>
    <t xml:space="preserve">Acceso sin autenticacion</t>
  </si>
  <si>
    <t xml:space="preserve">12:23:55.097</t>
  </si>
  <si>
    <t xml:space="preserve">Token corrupto</t>
  </si>
  <si>
    <t xml:space="preserve">12:23:55.129</t>
  </si>
  <si>
    <t xml:space="preserve">Metodo HTTP no soportado</t>
  </si>
  <si>
    <t xml:space="preserve">DELETE /v1/auth/login</t>
  </si>
  <si>
    <t xml:space="preserve">12:23:55.229</t>
  </si>
  <si>
    <t xml:space="preserve">Content-Type incorrecto</t>
  </si>
  <si>
    <t xml:space="preserve">12:23:55.240</t>
  </si>
  <si>
    <t xml:space="preserve">Parametro fuera de rango</t>
  </si>
  <si>
    <t xml:space="preserve">GET /v1/restaurants?page=-1&amp;size=10</t>
  </si>
  <si>
    <t xml:space="preserve">12:23:55.252</t>
  </si>
  <si>
    <t xml:space="preserve">Cuerpo vacio requerido</t>
  </si>
  <si>
    <t xml:space="preserve">12:23:55.274</t>
  </si>
  <si>
    <t xml:space="preserve">DATOS EDITABLES — Componentes del sistema (RFt-2-S)</t>
  </si>
  <si>
    <t xml:space="preserve">Cambia 'Redundante' (SI/NO) y el Resumen se recalcula para ambos entornos.</t>
  </si>
  <si>
    <t xml:space="preserve">Componente</t>
  </si>
  <si>
    <t xml:space="preserve">Instancias (local)</t>
  </si>
  <si>
    <t xml:space="preserve">Redundante (local)</t>
  </si>
  <si>
    <t xml:space="preserve">Redundante (producción)</t>
  </si>
  <si>
    <t xml:space="preserve">Observación</t>
  </si>
  <si>
    <t xml:space="preserve">postgres</t>
  </si>
  <si>
    <t xml:space="preserve">Producción: Neon — almacenamiento replicado gestionado</t>
  </si>
  <si>
    <t xml:space="preserve">backend</t>
  </si>
  <si>
    <t xml:space="preserve">Producción: Render free — 1 sola instancia (no redundante)</t>
  </si>
  <si>
    <t xml:space="preserve">frontend</t>
  </si>
  <si>
    <t xml:space="preserve">Producción: Vercel — edge/CDN multi-nodo gestionado</t>
  </si>
</sst>
</file>

<file path=xl/styles.xml><?xml version="1.0" encoding="utf-8"?>
<styleSheet xmlns="http://schemas.openxmlformats.org/spreadsheetml/2006/main">
  <numFmts count="4">
    <numFmt numFmtId="164" formatCode="General"/>
    <numFmt numFmtId="165" formatCode="0.0000"/>
    <numFmt numFmtId="166" formatCode="0.000&quot; s&quot;"/>
    <numFmt numFmtId="167" formatCode="0.000"/>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color rgb="FF595959"/>
      <name val="Arial"/>
      <family val="0"/>
      <charset val="1"/>
    </font>
    <font>
      <b val="true"/>
      <sz val="11"/>
      <color rgb="FFFFFFFF"/>
      <name val="Arial"/>
      <family val="0"/>
      <charset val="1"/>
    </font>
    <font>
      <b val="true"/>
      <sz val="10"/>
      <color rgb="FFFFFFFF"/>
      <name val="Arial"/>
      <family val="0"/>
      <charset val="1"/>
    </font>
    <font>
      <b val="true"/>
      <sz val="10"/>
      <name val="Arial"/>
      <family val="0"/>
      <charset val="1"/>
    </font>
    <font>
      <sz val="10"/>
      <name val="Arial"/>
      <family val="0"/>
      <charset val="1"/>
    </font>
    <font>
      <i val="true"/>
      <sz val="9"/>
      <color rgb="FF404040"/>
      <name val="Arial"/>
      <family val="0"/>
      <charset val="1"/>
    </font>
  </fonts>
  <fills count="6">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8EA9DB"/>
      </left>
      <right style="thin">
        <color rgb="FF8EA9DB"/>
      </right>
      <top style="thin">
        <color rgb="FF8EA9DB"/>
      </top>
      <bottom style="thin">
        <color rgb="FF8EA9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7" fontId="9"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3" activeCellId="0" sqref="D23"/>
    </sheetView>
  </sheetViews>
  <sheetFormatPr defaultColWidth="8.6328125" defaultRowHeight="14.2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34"/>
    <col collapsed="false" customWidth="true" hidden="false" outlineLevel="0" max="4" min="4" style="1" width="46"/>
    <col collapsed="false" customWidth="true" hidden="false" outlineLevel="0" max="6" min="5" style="1" width="9"/>
    <col collapsed="false" customWidth="true" hidden="false" outlineLevel="0" max="7" min="7" style="1" width="10"/>
    <col collapsed="false" customWidth="true" hidden="false" outlineLevel="0" max="8" min="8" style="1" width="13"/>
  </cols>
  <sheetData>
    <row r="1" customFormat="false" ht="18" hidden="false" customHeight="true" outlineLevel="0" collapsed="false">
      <c r="A1" s="2" t="s">
        <v>0</v>
      </c>
    </row>
    <row r="2" customFormat="false" ht="14.25" hidden="false" customHeight="true" outlineLevel="0" collapsed="false">
      <c r="A2" s="3" t="s">
        <v>1</v>
      </c>
    </row>
    <row r="4" customFormat="false" ht="19.5" hidden="false" customHeight="true" outlineLevel="0" collapsed="false">
      <c r="A4" s="4" t="s">
        <v>2</v>
      </c>
      <c r="B4" s="4"/>
      <c r="C4" s="4"/>
      <c r="D4" s="4"/>
      <c r="E4" s="4"/>
      <c r="F4" s="4"/>
      <c r="G4" s="4"/>
      <c r="H4" s="4"/>
    </row>
    <row r="5" customFormat="false" ht="14.25" hidden="false" customHeight="true" outlineLevel="0" collapsed="false">
      <c r="A5" s="5" t="s">
        <v>3</v>
      </c>
      <c r="B5" s="5" t="s">
        <v>4</v>
      </c>
      <c r="C5" s="5" t="s">
        <v>5</v>
      </c>
      <c r="D5" s="5" t="s">
        <v>6</v>
      </c>
      <c r="E5" s="5" t="s">
        <v>7</v>
      </c>
      <c r="F5" s="5" t="s">
        <v>8</v>
      </c>
      <c r="G5" s="5" t="s">
        <v>9</v>
      </c>
      <c r="H5" s="5" t="s">
        <v>10</v>
      </c>
    </row>
    <row r="6" customFormat="false" ht="87.75" hidden="false" customHeight="true" outlineLevel="0" collapsed="false">
      <c r="A6" s="6" t="s">
        <v>11</v>
      </c>
      <c r="B6" s="7" t="s">
        <v>12</v>
      </c>
      <c r="C6" s="8" t="s">
        <v>13</v>
      </c>
      <c r="D6" s="8" t="s">
        <v>14</v>
      </c>
      <c r="E6" s="6" t="n">
        <f aca="false">COUNTIFS('Datos Interoperabilidad'!A5:A20,"CIn-1-G",'Datos Interoperabilidad'!E5:E20,"INTERCAMBIABLE")</f>
        <v>3</v>
      </c>
      <c r="F6" s="6" t="n">
        <f aca="false">COUNTIF('Datos Interoperabilidad'!A5:A20,"CIn-1-G")</f>
        <v>3</v>
      </c>
      <c r="G6" s="9" t="n">
        <f aca="false">E6/F6</f>
        <v>1</v>
      </c>
      <c r="H6" s="6" t="str">
        <f aca="false">IF(G6&gt;=0.9,"CUMPLE",IF(G6&gt;=0.7,"PARCIAL","NO CUMPLE"))</f>
        <v>CUMPLE</v>
      </c>
    </row>
    <row r="7" customFormat="false" ht="87.75" hidden="false" customHeight="true" outlineLevel="0" collapsed="false">
      <c r="A7" s="6" t="s">
        <v>15</v>
      </c>
      <c r="B7" s="7" t="s">
        <v>16</v>
      </c>
      <c r="C7" s="8" t="s">
        <v>17</v>
      </c>
      <c r="D7" s="8" t="s">
        <v>18</v>
      </c>
      <c r="E7" s="6" t="n">
        <f aca="false">COUNTIFS('Datos Interoperabilidad'!A5:A20,"CIn-2-G",'Datos Interoperabilidad'!E5:E20,"SOPORTADO")</f>
        <v>3</v>
      </c>
      <c r="F7" s="6" t="n">
        <f aca="false">COUNTIF('Datos Interoperabilidad'!A5:A20,"CIn-2-G")</f>
        <v>3</v>
      </c>
      <c r="G7" s="9" t="n">
        <f aca="false">E7/F7</f>
        <v>1</v>
      </c>
      <c r="H7" s="6" t="str">
        <f aca="false">IF(G7&gt;=0.9,"CUMPLE",IF(G7&gt;=0.7,"PARCIAL","NO CUMPLE"))</f>
        <v>CUMPLE</v>
      </c>
    </row>
    <row r="8" customFormat="false" ht="87.75" hidden="false" customHeight="true" outlineLevel="0" collapsed="false">
      <c r="A8" s="6" t="s">
        <v>19</v>
      </c>
      <c r="B8" s="7" t="s">
        <v>20</v>
      </c>
      <c r="C8" s="8" t="s">
        <v>21</v>
      </c>
      <c r="D8" s="8" t="s">
        <v>22</v>
      </c>
      <c r="E8" s="6" t="n">
        <f aca="false">COUNTIFS('Datos Interoperabilidad'!A5:A20,"CIn-3-S",'Datos Interoperabilidad'!E5:E20,"FUNCIONAL")</f>
        <v>3</v>
      </c>
      <c r="F8" s="6" t="n">
        <f aca="false">COUNTIF('Datos Interoperabilidad'!A5:A20,"CIn-3-S")</f>
        <v>3</v>
      </c>
      <c r="G8" s="9" t="n">
        <f aca="false">E8/F8</f>
        <v>1</v>
      </c>
      <c r="H8" s="6" t="str">
        <f aca="false">IF(G8&gt;=0.9,"CUMPLE",IF(G8&gt;=0.7,"PARCIAL","NO CUMPLE"))</f>
        <v>CUMPLE</v>
      </c>
    </row>
    <row r="9" customFormat="false" ht="25.5" hidden="false" customHeight="true" outlineLevel="0" collapsed="false">
      <c r="A9" s="10" t="s">
        <v>23</v>
      </c>
      <c r="B9" s="10"/>
      <c r="C9" s="10"/>
      <c r="D9" s="10"/>
      <c r="E9" s="10"/>
      <c r="F9" s="10"/>
      <c r="G9" s="10"/>
      <c r="H9" s="10"/>
    </row>
    <row r="11" customFormat="false" ht="19.5" hidden="false" customHeight="true" outlineLevel="0" collapsed="false">
      <c r="A11" s="4" t="s">
        <v>24</v>
      </c>
      <c r="B11" s="4"/>
      <c r="C11" s="4"/>
      <c r="D11" s="4"/>
      <c r="E11" s="4"/>
      <c r="F11" s="4"/>
      <c r="G11" s="4"/>
      <c r="H11" s="4"/>
    </row>
    <row r="12" customFormat="false" ht="14.25" hidden="false" customHeight="true" outlineLevel="0" collapsed="false">
      <c r="A12" s="5" t="s">
        <v>3</v>
      </c>
      <c r="B12" s="5" t="s">
        <v>4</v>
      </c>
      <c r="C12" s="5" t="s">
        <v>5</v>
      </c>
      <c r="D12" s="5" t="s">
        <v>6</v>
      </c>
      <c r="E12" s="5" t="s">
        <v>7</v>
      </c>
      <c r="F12" s="5" t="s">
        <v>8</v>
      </c>
      <c r="G12" s="5" t="s">
        <v>9</v>
      </c>
      <c r="H12" s="5" t="s">
        <v>10</v>
      </c>
    </row>
    <row r="13" customFormat="false" ht="87.75" hidden="false" customHeight="true" outlineLevel="0" collapsed="false">
      <c r="A13" s="6" t="s">
        <v>25</v>
      </c>
      <c r="B13" s="7" t="s">
        <v>26</v>
      </c>
      <c r="C13" s="8" t="s">
        <v>27</v>
      </c>
      <c r="D13" s="8" t="s">
        <v>28</v>
      </c>
      <c r="E13" s="6" t="n">
        <f aca="false">COUNTIF('Datos Casos de fallo'!F5:F40,"EVITADO")</f>
        <v>6</v>
      </c>
      <c r="F13" s="6" t="n">
        <f aca="false">COUNTA('Datos Casos de fallo'!F5:F40)</f>
        <v>12</v>
      </c>
      <c r="G13" s="9" t="n">
        <f aca="false">E13/F13</f>
        <v>0.5</v>
      </c>
      <c r="H13" s="6" t="str">
        <f aca="false">IF(G13&gt;=0.9,"CUMPLE",IF(G13&gt;=0.7,"PARCIAL","NO CUMPLE"))</f>
        <v>NO CUMPLE</v>
      </c>
    </row>
    <row r="14" customFormat="false" ht="87.75" hidden="false" customHeight="true" outlineLevel="0" collapsed="false">
      <c r="A14" s="6" t="s">
        <v>29</v>
      </c>
      <c r="B14" s="7" t="s">
        <v>30</v>
      </c>
      <c r="C14" s="8" t="s">
        <v>31</v>
      </c>
      <c r="D14" s="8" t="s">
        <v>32</v>
      </c>
      <c r="E14" s="6" t="n">
        <f aca="false">COUNTIF('Datos Componentes'!C5:C20,"SI")</f>
        <v>0</v>
      </c>
      <c r="F14" s="6" t="n">
        <f aca="false">COUNTA('Datos Componentes'!C5:C20)</f>
        <v>3</v>
      </c>
      <c r="G14" s="9" t="n">
        <f aca="false">E14/F14</f>
        <v>0</v>
      </c>
      <c r="H14" s="6" t="str">
        <f aca="false">IF(G14&gt;=0.9,"CUMPLE",IF(G14&gt;=0.7,"PARCIAL","NO CUMPLE"))</f>
        <v>NO CUMPLE</v>
      </c>
    </row>
    <row r="15" customFormat="false" ht="87.75" hidden="false" customHeight="true" outlineLevel="0" collapsed="false">
      <c r="A15" s="6" t="s">
        <v>29</v>
      </c>
      <c r="B15" s="7" t="s">
        <v>33</v>
      </c>
      <c r="C15" s="8" t="s">
        <v>31</v>
      </c>
      <c r="D15" s="8" t="s">
        <v>32</v>
      </c>
      <c r="E15" s="6" t="n">
        <f aca="false">COUNTIF('Datos Componentes'!D5:D20,"SI")</f>
        <v>2</v>
      </c>
      <c r="F15" s="6" t="n">
        <f aca="false">COUNTA('Datos Componentes'!D5:D20)</f>
        <v>3</v>
      </c>
      <c r="G15" s="9" t="n">
        <f aca="false">E15/F15</f>
        <v>0.666666666666667</v>
      </c>
      <c r="H15" s="6" t="str">
        <f aca="false">IF(G15&gt;=0.9,"CUMPLE",IF(G15&gt;=0.7,"PARCIAL","NO CUMPLE"))</f>
        <v>NO CUMPLE</v>
      </c>
    </row>
    <row r="16" customFormat="false" ht="25.5" hidden="false" customHeight="true" outlineLevel="0" collapsed="false">
      <c r="A16" s="10" t="s">
        <v>34</v>
      </c>
      <c r="B16" s="10"/>
      <c r="C16" s="10"/>
      <c r="D16" s="10"/>
      <c r="E16" s="10"/>
      <c r="F16" s="10"/>
      <c r="G16" s="10"/>
      <c r="H16" s="10"/>
    </row>
    <row r="17" customFormat="false" ht="96" hidden="false" customHeight="true" outlineLevel="0" collapsed="false">
      <c r="A17" s="6" t="s">
        <v>35</v>
      </c>
      <c r="B17" s="7" t="s">
        <v>36</v>
      </c>
      <c r="C17" s="8" t="s">
        <v>37</v>
      </c>
      <c r="D17" s="8" t="s">
        <v>38</v>
      </c>
      <c r="E17" s="6" t="n">
        <f aca="false">SUM('Datos Casos de fallo'!H5:H40)</f>
        <v>0.953</v>
      </c>
      <c r="F17" s="6" t="n">
        <f aca="false">COUNT('Datos Casos de fallo'!H5:H40)</f>
        <v>12</v>
      </c>
      <c r="G17" s="11" t="n">
        <f aca="false">E17/F17</f>
        <v>0.0794166666666667</v>
      </c>
      <c r="H17" s="6" t="str">
        <f aca="false">IF(G17&lt;=1,"CUMPLE","NO CUMPLE")</f>
        <v>CUMPLE</v>
      </c>
    </row>
    <row r="18" customFormat="false" ht="25.5" hidden="false" customHeight="true" outlineLevel="0" collapsed="false">
      <c r="A18" s="10" t="s">
        <v>39</v>
      </c>
      <c r="B18" s="10"/>
      <c r="C18" s="10"/>
      <c r="D18" s="10"/>
      <c r="E18" s="10"/>
      <c r="F18" s="10"/>
      <c r="G18" s="10"/>
      <c r="H18" s="10"/>
    </row>
    <row r="20" customFormat="false" ht="14.25" hidden="false" customHeight="true" outlineLevel="0" collapsed="false">
      <c r="A20" s="3"/>
    </row>
    <row r="21" customFormat="false" ht="14.25" hidden="false" customHeight="true" outlineLevel="0" collapsed="false">
      <c r="A21" s="3"/>
    </row>
    <row r="22" customFormat="false" ht="14.25" hidden="false" customHeight="true" outlineLevel="0" collapsed="false">
      <c r="A22" s="3"/>
    </row>
  </sheetData>
  <mergeCells count="5">
    <mergeCell ref="A4:H4"/>
    <mergeCell ref="A9:H9"/>
    <mergeCell ref="A11:H11"/>
    <mergeCell ref="A16:H16"/>
    <mergeCell ref="A18:H18"/>
  </mergeCells>
  <conditionalFormatting sqref="G6:G8">
    <cfRule type="cellIs" priority="2" operator="greaterThanOrEqual" aboveAverage="0" equalAverage="0" bottom="0" percent="0" rank="0" text="" dxfId="0">
      <formula>0.9</formula>
    </cfRule>
    <cfRule type="cellIs" priority="3" operator="between" aboveAverage="0" equalAverage="0" bottom="0" percent="0" rank="0" text="" dxfId="1">
      <formula>0.7</formula>
      <formula>0.8999</formula>
    </cfRule>
    <cfRule type="cellIs" priority="4" operator="lessThan" aboveAverage="0" equalAverage="0" bottom="0" percent="0" rank="0" text="" dxfId="2">
      <formula>0.7</formula>
    </cfRule>
  </conditionalFormatting>
  <conditionalFormatting sqref="G13:G15">
    <cfRule type="cellIs" priority="5" operator="greaterThanOrEqual" aboveAverage="0" equalAverage="0" bottom="0" percent="0" rank="0" text="" dxfId="0">
      <formula>0.9</formula>
    </cfRule>
    <cfRule type="cellIs" priority="6" operator="between" aboveAverage="0" equalAverage="0" bottom="0" percent="0" rank="0" text="" dxfId="1">
      <formula>0.7</formula>
      <formula>0.8999</formula>
    </cfRule>
    <cfRule type="cellIs" priority="7" operator="lessThan" aboveAverage="0" equalAverage="0" bottom="0" percent="0" rank="0" text="" dxfId="2">
      <formula>0.7</formula>
    </cfRule>
  </conditionalFormatting>
  <conditionalFormatting sqref="G17">
    <cfRule type="cellIs" priority="8" operator="lessThanOrEqual" aboveAverage="0" equalAverage="0" bottom="0" percent="0" rank="0" text="" dxfId="0">
      <formula>1</formula>
    </cfRule>
    <cfRule type="cellIs" priority="9" operator="greaterThan" aboveAverage="0" equalAverage="0" bottom="0" percent="0" rank="0" text="" dxfId="2">
      <formula>1</formula>
    </cfRule>
  </conditionalFormatting>
  <conditionalFormatting sqref="H6:H8">
    <cfRule type="cellIs" priority="10" operator="equal" aboveAverage="0" equalAverage="0" bottom="0" percent="0" rank="0" text="" dxfId="0">
      <formula>"CUMPLE"</formula>
    </cfRule>
    <cfRule type="cellIs" priority="11" operator="equal" aboveAverage="0" equalAverage="0" bottom="0" percent="0" rank="0" text="" dxfId="1">
      <formula>"PARCIAL"</formula>
    </cfRule>
    <cfRule type="cellIs" priority="12" operator="equal" aboveAverage="0" equalAverage="0" bottom="0" percent="0" rank="0" text="" dxfId="2">
      <formula>"NO CUMPLE"</formula>
    </cfRule>
  </conditionalFormatting>
  <conditionalFormatting sqref="H13:H15">
    <cfRule type="cellIs" priority="13" operator="equal" aboveAverage="0" equalAverage="0" bottom="0" percent="0" rank="0" text="" dxfId="0">
      <formula>"CUMPLE"</formula>
    </cfRule>
    <cfRule type="cellIs" priority="14" operator="equal" aboveAverage="0" equalAverage="0" bottom="0" percent="0" rank="0" text="" dxfId="1">
      <formula>"PARCIAL"</formula>
    </cfRule>
    <cfRule type="cellIs" priority="15" operator="equal" aboveAverage="0" equalAverage="0" bottom="0" percent="0" rank="0" text="" dxfId="2">
      <formula>"NO CUMPLE"</formula>
    </cfRule>
  </conditionalFormatting>
  <conditionalFormatting sqref="H17">
    <cfRule type="cellIs" priority="16" operator="equal" aboveAverage="0" equalAverage="0" bottom="0" percent="0" rank="0" text="" dxfId="0">
      <formula>"CUMPLE"</formula>
    </cfRule>
    <cfRule type="cellIs" priority="17" operator="equal" aboveAverage="0" equalAverage="0" bottom="0" percent="0" rank="0" text="" dxfId="1">
      <formula>"PARCIAL"</formula>
    </cfRule>
    <cfRule type="cellIs" priority="18" operator="equal" aboveAverage="0" equalAverage="0" bottom="0" percent="0" rank="0" text="" dxfId="2">
      <formula>"NO CUMPLE"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8" activePane="bottomLeft" state="frozen"/>
      <selection pane="topLeft" activeCell="A1" activeCellId="0" sqref="A1"/>
      <selection pane="bottomLeft" activeCell="C18" activeCellId="0" sqref="C18"/>
    </sheetView>
  </sheetViews>
  <sheetFormatPr defaultColWidth="8.6328125" defaultRowHeight="14.25" customHeight="false"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3" min="3" style="1" width="40"/>
    <col collapsed="false" customWidth="true" hidden="false" outlineLevel="0" max="4" min="4" style="1" width="11"/>
    <col collapsed="false" customWidth="true" hidden="false" outlineLevel="0" max="5" min="5" style="1" width="18"/>
    <col collapsed="false" customWidth="true" hidden="false" outlineLevel="0" max="6" min="6" style="1" width="46"/>
  </cols>
  <sheetData>
    <row r="1" customFormat="false" ht="18" hidden="false" customHeight="true" outlineLevel="0" collapsed="false">
      <c r="A1" s="2" t="s">
        <v>40</v>
      </c>
    </row>
    <row r="2" customFormat="false" ht="14.25" hidden="false" customHeight="true" outlineLevel="0" collapsed="false">
      <c r="A2" s="3" t="s">
        <v>41</v>
      </c>
    </row>
    <row r="4" customFormat="false" ht="25.5" hidden="false" customHeight="true" outlineLevel="0" collapsed="false">
      <c r="A4" s="5" t="s">
        <v>42</v>
      </c>
      <c r="B4" s="5" t="s">
        <v>43</v>
      </c>
      <c r="C4" s="5" t="s">
        <v>44</v>
      </c>
      <c r="D4" s="5" t="s">
        <v>45</v>
      </c>
      <c r="E4" s="5" t="s">
        <v>46</v>
      </c>
      <c r="F4" s="5" t="s">
        <v>47</v>
      </c>
    </row>
    <row r="5" customFormat="false" ht="14.25" hidden="false" customHeight="true" outlineLevel="0" collapsed="false">
      <c r="A5" s="8" t="s">
        <v>11</v>
      </c>
      <c r="B5" s="8" t="s">
        <v>48</v>
      </c>
      <c r="C5" s="8" t="s">
        <v>49</v>
      </c>
      <c r="D5" s="8" t="s">
        <v>50</v>
      </c>
      <c r="E5" s="12" t="s">
        <v>51</v>
      </c>
      <c r="F5" s="8" t="s">
        <v>52</v>
      </c>
    </row>
    <row r="6" customFormat="false" ht="14.25" hidden="false" customHeight="true" outlineLevel="0" collapsed="false">
      <c r="A6" s="8" t="s">
        <v>11</v>
      </c>
      <c r="B6" s="8" t="s">
        <v>53</v>
      </c>
      <c r="C6" s="8" t="s">
        <v>54</v>
      </c>
      <c r="D6" s="8" t="s">
        <v>50</v>
      </c>
      <c r="E6" s="12" t="s">
        <v>51</v>
      </c>
      <c r="F6" s="8" t="s">
        <v>55</v>
      </c>
    </row>
    <row r="7" customFormat="false" ht="14.25" hidden="false" customHeight="true" outlineLevel="0" collapsed="false">
      <c r="A7" s="8" t="s">
        <v>11</v>
      </c>
      <c r="B7" s="8" t="s">
        <v>56</v>
      </c>
      <c r="C7" s="8" t="s">
        <v>57</v>
      </c>
      <c r="D7" s="8" t="s">
        <v>50</v>
      </c>
      <c r="E7" s="12" t="s">
        <v>51</v>
      </c>
      <c r="F7" s="8" t="s">
        <v>58</v>
      </c>
    </row>
    <row r="8" customFormat="false" ht="14.25" hidden="false" customHeight="true" outlineLevel="0" collapsed="false">
      <c r="A8" s="8" t="s">
        <v>15</v>
      </c>
      <c r="B8" s="8" t="s">
        <v>59</v>
      </c>
      <c r="C8" s="8" t="s">
        <v>49</v>
      </c>
      <c r="D8" s="8" t="s">
        <v>50</v>
      </c>
      <c r="E8" s="12" t="s">
        <v>60</v>
      </c>
      <c r="F8" s="8" t="s">
        <v>61</v>
      </c>
    </row>
    <row r="9" customFormat="false" ht="14.25" hidden="false" customHeight="true" outlineLevel="0" collapsed="false">
      <c r="A9" s="8" t="s">
        <v>15</v>
      </c>
      <c r="B9" s="8" t="s">
        <v>62</v>
      </c>
      <c r="C9" s="8" t="s">
        <v>63</v>
      </c>
      <c r="D9" s="8" t="s">
        <v>64</v>
      </c>
      <c r="E9" s="12" t="s">
        <v>60</v>
      </c>
      <c r="F9" s="8" t="s">
        <v>65</v>
      </c>
    </row>
    <row r="10" customFormat="false" ht="14.25" hidden="false" customHeight="true" outlineLevel="0" collapsed="false">
      <c r="A10" s="8" t="s">
        <v>15</v>
      </c>
      <c r="B10" s="8" t="s">
        <v>66</v>
      </c>
      <c r="C10" s="8" t="s">
        <v>67</v>
      </c>
      <c r="D10" s="8" t="s">
        <v>50</v>
      </c>
      <c r="E10" s="12" t="s">
        <v>60</v>
      </c>
      <c r="F10" s="8" t="s">
        <v>68</v>
      </c>
    </row>
    <row r="11" customFormat="false" ht="24.75" hidden="false" customHeight="true" outlineLevel="0" collapsed="false">
      <c r="A11" s="8" t="s">
        <v>19</v>
      </c>
      <c r="B11" s="8" t="s">
        <v>69</v>
      </c>
      <c r="C11" s="8" t="s">
        <v>70</v>
      </c>
      <c r="D11" s="8" t="s">
        <v>50</v>
      </c>
      <c r="E11" s="12" t="s">
        <v>71</v>
      </c>
      <c r="F11" s="8" t="s">
        <v>72</v>
      </c>
    </row>
    <row r="12" customFormat="false" ht="24.75" hidden="false" customHeight="true" outlineLevel="0" collapsed="false">
      <c r="A12" s="8" t="s">
        <v>19</v>
      </c>
      <c r="B12" s="8" t="s">
        <v>73</v>
      </c>
      <c r="C12" s="8" t="s">
        <v>74</v>
      </c>
      <c r="D12" s="8" t="s">
        <v>50</v>
      </c>
      <c r="E12" s="12" t="s">
        <v>71</v>
      </c>
      <c r="F12" s="8" t="s">
        <v>75</v>
      </c>
    </row>
    <row r="13" customFormat="false" ht="24.75" hidden="false" customHeight="true" outlineLevel="0" collapsed="false">
      <c r="A13" s="8" t="s">
        <v>19</v>
      </c>
      <c r="B13" s="8" t="s">
        <v>76</v>
      </c>
      <c r="C13" s="8" t="s">
        <v>77</v>
      </c>
      <c r="D13" s="8" t="s">
        <v>50</v>
      </c>
      <c r="E13" s="12" t="s">
        <v>71</v>
      </c>
      <c r="F13" s="8" t="s">
        <v>78</v>
      </c>
    </row>
  </sheetData>
  <dataValidations count="1">
    <dataValidation allowBlank="false" errorStyle="stop" operator="between" showDropDown="false" showErrorMessage="false" showInputMessage="false" sqref="E5:E13" type="list">
      <formula1>"INTERCAMBIABLE,SOPORTADO,FUNCIONAL,NO_CUMPLE"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8" activePane="bottomLeft" state="frozen"/>
      <selection pane="topLeft" activeCell="A1" activeCellId="0" sqref="A1"/>
      <selection pane="bottomLeft" activeCell="E10" activeCellId="0" sqref="E10"/>
    </sheetView>
  </sheetViews>
  <sheetFormatPr defaultColWidth="8.6328125" defaultRowHeight="14.25" customHeight="false" zeroHeight="false" outlineLevelRow="0" outlineLevelCol="0"/>
  <cols>
    <col collapsed="false" customWidth="true" hidden="false" outlineLevel="0" max="1" min="1" style="1" width="7"/>
    <col collapsed="false" customWidth="true" hidden="false" outlineLevel="0" max="2" min="2" style="1" width="25"/>
    <col collapsed="false" customWidth="true" hidden="false" outlineLevel="0" max="3" min="3" style="1" width="48"/>
    <col collapsed="false" customWidth="true" hidden="false" outlineLevel="0" max="4" min="4" style="1" width="11"/>
    <col collapsed="false" customWidth="true" hidden="false" outlineLevel="0" max="5" min="5" style="1" width="12"/>
    <col collapsed="false" customWidth="true" hidden="false" outlineLevel="0" max="6" min="6" style="1" width="13"/>
    <col collapsed="false" customWidth="true" hidden="false" outlineLevel="0" max="7" min="7" style="1" width="14"/>
    <col collapsed="false" customWidth="true" hidden="false" outlineLevel="0" max="8" min="8" style="1" width="13"/>
  </cols>
  <sheetData>
    <row r="1" customFormat="false" ht="18" hidden="false" customHeight="true" outlineLevel="0" collapsed="false">
      <c r="A1" s="2" t="s">
        <v>79</v>
      </c>
    </row>
    <row r="2" customFormat="false" ht="14.25" hidden="false" customHeight="true" outlineLevel="0" collapsed="false">
      <c r="A2" s="3" t="s">
        <v>80</v>
      </c>
    </row>
    <row r="4" customFormat="false" ht="39" hidden="false" customHeight="true" outlineLevel="0" collapsed="false">
      <c r="A4" s="5" t="s">
        <v>81</v>
      </c>
      <c r="B4" s="5" t="s">
        <v>82</v>
      </c>
      <c r="C4" s="5" t="s">
        <v>83</v>
      </c>
      <c r="D4" s="5" t="s">
        <v>45</v>
      </c>
      <c r="E4" s="5" t="s">
        <v>84</v>
      </c>
      <c r="F4" s="5" t="s">
        <v>85</v>
      </c>
      <c r="G4" s="5" t="s">
        <v>86</v>
      </c>
      <c r="H4" s="5" t="s">
        <v>87</v>
      </c>
    </row>
    <row r="5" customFormat="false" ht="14.25" hidden="false" customHeight="true" outlineLevel="0" collapsed="false">
      <c r="A5" s="8" t="n">
        <v>1</v>
      </c>
      <c r="B5" s="8" t="s">
        <v>88</v>
      </c>
      <c r="C5" s="8" t="s">
        <v>89</v>
      </c>
      <c r="D5" s="8" t="n">
        <v>500</v>
      </c>
      <c r="E5" s="8" t="s">
        <v>90</v>
      </c>
      <c r="F5" s="12" t="s">
        <v>91</v>
      </c>
      <c r="G5" s="8" t="s">
        <v>92</v>
      </c>
      <c r="H5" s="13" t="n">
        <v>0.242</v>
      </c>
    </row>
    <row r="6" customFormat="false" ht="14.25" hidden="false" customHeight="true" outlineLevel="0" collapsed="false">
      <c r="A6" s="8" t="n">
        <v>2</v>
      </c>
      <c r="B6" s="8" t="s">
        <v>93</v>
      </c>
      <c r="C6" s="8" t="s">
        <v>89</v>
      </c>
      <c r="D6" s="8" t="n">
        <v>400</v>
      </c>
      <c r="E6" s="8" t="s">
        <v>90</v>
      </c>
      <c r="F6" s="12" t="s">
        <v>94</v>
      </c>
      <c r="G6" s="8" t="s">
        <v>95</v>
      </c>
      <c r="H6" s="13" t="n">
        <v>0.094</v>
      </c>
    </row>
    <row r="7" customFormat="false" ht="14.25" hidden="false" customHeight="true" outlineLevel="0" collapsed="false">
      <c r="A7" s="8" t="n">
        <v>3</v>
      </c>
      <c r="B7" s="8" t="s">
        <v>96</v>
      </c>
      <c r="C7" s="8" t="s">
        <v>89</v>
      </c>
      <c r="D7" s="8" t="n">
        <v>401</v>
      </c>
      <c r="E7" s="8" t="s">
        <v>90</v>
      </c>
      <c r="F7" s="12" t="s">
        <v>94</v>
      </c>
      <c r="G7" s="8" t="s">
        <v>97</v>
      </c>
      <c r="H7" s="13" t="n">
        <v>0.408</v>
      </c>
    </row>
    <row r="8" customFormat="false" ht="24.75" hidden="false" customHeight="true" outlineLevel="0" collapsed="false">
      <c r="A8" s="8" t="n">
        <v>4</v>
      </c>
      <c r="B8" s="8" t="s">
        <v>98</v>
      </c>
      <c r="C8" s="8" t="s">
        <v>99</v>
      </c>
      <c r="D8" s="8" t="n">
        <v>404</v>
      </c>
      <c r="E8" s="8" t="s">
        <v>90</v>
      </c>
      <c r="F8" s="12" t="s">
        <v>94</v>
      </c>
      <c r="G8" s="8" t="s">
        <v>100</v>
      </c>
      <c r="H8" s="13" t="n">
        <v>0.035</v>
      </c>
    </row>
    <row r="9" customFormat="false" ht="14.25" hidden="false" customHeight="true" outlineLevel="0" collapsed="false">
      <c r="A9" s="8" t="n">
        <v>5</v>
      </c>
      <c r="B9" s="8" t="s">
        <v>101</v>
      </c>
      <c r="C9" s="8" t="s">
        <v>102</v>
      </c>
      <c r="D9" s="8" t="n">
        <v>500</v>
      </c>
      <c r="E9" s="8" t="s">
        <v>90</v>
      </c>
      <c r="F9" s="12" t="s">
        <v>91</v>
      </c>
      <c r="G9" s="8" t="s">
        <v>103</v>
      </c>
      <c r="H9" s="13" t="n">
        <v>0.011</v>
      </c>
    </row>
    <row r="10" customFormat="false" ht="14.25" hidden="false" customHeight="true" outlineLevel="0" collapsed="false">
      <c r="A10" s="8" t="n">
        <v>6</v>
      </c>
      <c r="B10" s="8" t="s">
        <v>104</v>
      </c>
      <c r="C10" s="8" t="s">
        <v>105</v>
      </c>
      <c r="D10" s="8" t="n">
        <v>403</v>
      </c>
      <c r="E10" s="8" t="s">
        <v>106</v>
      </c>
      <c r="F10" s="12" t="s">
        <v>94</v>
      </c>
      <c r="G10" s="8" t="s">
        <v>107</v>
      </c>
      <c r="H10" s="13" t="n">
        <v>0.009</v>
      </c>
    </row>
    <row r="11" customFormat="false" ht="14.25" hidden="false" customHeight="true" outlineLevel="0" collapsed="false">
      <c r="A11" s="8" t="n">
        <v>7</v>
      </c>
      <c r="B11" s="8" t="s">
        <v>108</v>
      </c>
      <c r="C11" s="8" t="s">
        <v>70</v>
      </c>
      <c r="D11" s="8" t="n">
        <v>403</v>
      </c>
      <c r="E11" s="8" t="s">
        <v>106</v>
      </c>
      <c r="F11" s="12" t="s">
        <v>94</v>
      </c>
      <c r="G11" s="8" t="s">
        <v>109</v>
      </c>
      <c r="H11" s="13" t="n">
        <v>0.007</v>
      </c>
    </row>
    <row r="12" customFormat="false" ht="14.25" hidden="false" customHeight="true" outlineLevel="0" collapsed="false">
      <c r="A12" s="8" t="n">
        <v>8</v>
      </c>
      <c r="B12" s="8" t="s">
        <v>110</v>
      </c>
      <c r="C12" s="8" t="s">
        <v>70</v>
      </c>
      <c r="D12" s="8" t="n">
        <v>403</v>
      </c>
      <c r="E12" s="8" t="s">
        <v>106</v>
      </c>
      <c r="F12" s="12" t="s">
        <v>94</v>
      </c>
      <c r="G12" s="8" t="s">
        <v>111</v>
      </c>
      <c r="H12" s="13" t="n">
        <v>0.098</v>
      </c>
    </row>
    <row r="13" customFormat="false" ht="14.25" hidden="false" customHeight="true" outlineLevel="0" collapsed="false">
      <c r="A13" s="8" t="n">
        <v>9</v>
      </c>
      <c r="B13" s="8" t="s">
        <v>112</v>
      </c>
      <c r="C13" s="8" t="s">
        <v>113</v>
      </c>
      <c r="D13" s="8" t="n">
        <v>500</v>
      </c>
      <c r="E13" s="8" t="s">
        <v>90</v>
      </c>
      <c r="F13" s="12" t="s">
        <v>91</v>
      </c>
      <c r="G13" s="8" t="s">
        <v>114</v>
      </c>
      <c r="H13" s="13" t="n">
        <v>0.008</v>
      </c>
    </row>
    <row r="14" customFormat="false" ht="14.25" hidden="false" customHeight="true" outlineLevel="0" collapsed="false">
      <c r="A14" s="8" t="n">
        <v>10</v>
      </c>
      <c r="B14" s="8" t="s">
        <v>115</v>
      </c>
      <c r="C14" s="8" t="s">
        <v>89</v>
      </c>
      <c r="D14" s="8" t="n">
        <v>500</v>
      </c>
      <c r="E14" s="8" t="s">
        <v>90</v>
      </c>
      <c r="F14" s="12" t="s">
        <v>91</v>
      </c>
      <c r="G14" s="8" t="s">
        <v>116</v>
      </c>
      <c r="H14" s="13" t="n">
        <v>0.011</v>
      </c>
    </row>
    <row r="15" customFormat="false" ht="24.75" hidden="false" customHeight="true" outlineLevel="0" collapsed="false">
      <c r="A15" s="8" t="n">
        <v>11</v>
      </c>
      <c r="B15" s="8" t="s">
        <v>117</v>
      </c>
      <c r="C15" s="8" t="s">
        <v>118</v>
      </c>
      <c r="D15" s="8" t="n">
        <v>500</v>
      </c>
      <c r="E15" s="8" t="s">
        <v>90</v>
      </c>
      <c r="F15" s="12" t="s">
        <v>91</v>
      </c>
      <c r="G15" s="8" t="s">
        <v>119</v>
      </c>
      <c r="H15" s="13" t="n">
        <v>0.02</v>
      </c>
    </row>
    <row r="16" customFormat="false" ht="14.25" hidden="false" customHeight="true" outlineLevel="0" collapsed="false">
      <c r="A16" s="8" t="n">
        <v>12</v>
      </c>
      <c r="B16" s="8" t="s">
        <v>120</v>
      </c>
      <c r="C16" s="8" t="s">
        <v>89</v>
      </c>
      <c r="D16" s="8" t="n">
        <v>500</v>
      </c>
      <c r="E16" s="8" t="s">
        <v>90</v>
      </c>
      <c r="F16" s="12" t="s">
        <v>91</v>
      </c>
      <c r="G16" s="8" t="s">
        <v>121</v>
      </c>
      <c r="H16" s="13" t="n">
        <v>0.01</v>
      </c>
    </row>
  </sheetData>
  <dataValidations count="1">
    <dataValidation allowBlank="false" errorStyle="stop" operator="between" showDropDown="false" showErrorMessage="false" showInputMessage="false" sqref="F5:F16" type="list">
      <formula1>"EVITADO,NO_EVITADO"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1" width="26"/>
    <col collapsed="false" customWidth="true" hidden="false" outlineLevel="0" max="2" min="2" style="1" width="15"/>
    <col collapsed="false" customWidth="true" hidden="false" outlineLevel="0" max="3" min="3" style="1" width="16"/>
    <col collapsed="false" customWidth="true" hidden="false" outlineLevel="0" max="4" min="4" style="1" width="20"/>
    <col collapsed="false" customWidth="true" hidden="false" outlineLevel="0" max="5" min="5" style="1" width="52"/>
  </cols>
  <sheetData>
    <row r="1" customFormat="false" ht="18" hidden="false" customHeight="true" outlineLevel="0" collapsed="false">
      <c r="A1" s="2" t="s">
        <v>122</v>
      </c>
    </row>
    <row r="2" customFormat="false" ht="14.25" hidden="false" customHeight="true" outlineLevel="0" collapsed="false">
      <c r="A2" s="3" t="s">
        <v>123</v>
      </c>
    </row>
    <row r="4" customFormat="false" ht="25.5" hidden="false" customHeight="true" outlineLevel="0" collapsed="false">
      <c r="A4" s="5" t="s">
        <v>124</v>
      </c>
      <c r="B4" s="5" t="s">
        <v>125</v>
      </c>
      <c r="C4" s="5" t="s">
        <v>126</v>
      </c>
      <c r="D4" s="5" t="s">
        <v>127</v>
      </c>
      <c r="E4" s="5" t="s">
        <v>128</v>
      </c>
    </row>
    <row r="5" customFormat="false" ht="14.25" hidden="false" customHeight="true" outlineLevel="0" collapsed="false">
      <c r="A5" s="8" t="s">
        <v>129</v>
      </c>
      <c r="B5" s="8" t="n">
        <v>1</v>
      </c>
      <c r="C5" s="12" t="s">
        <v>106</v>
      </c>
      <c r="D5" s="12" t="s">
        <v>90</v>
      </c>
      <c r="E5" s="8" t="s">
        <v>130</v>
      </c>
    </row>
    <row r="6" customFormat="false" ht="14.25" hidden="false" customHeight="true" outlineLevel="0" collapsed="false">
      <c r="A6" s="8" t="s">
        <v>131</v>
      </c>
      <c r="B6" s="8" t="n">
        <v>1</v>
      </c>
      <c r="C6" s="12" t="s">
        <v>106</v>
      </c>
      <c r="D6" s="12" t="s">
        <v>106</v>
      </c>
      <c r="E6" s="8" t="s">
        <v>132</v>
      </c>
    </row>
    <row r="7" customFormat="false" ht="14.25" hidden="false" customHeight="true" outlineLevel="0" collapsed="false">
      <c r="A7" s="8" t="s">
        <v>133</v>
      </c>
      <c r="B7" s="8" t="n">
        <v>1</v>
      </c>
      <c r="C7" s="12" t="s">
        <v>106</v>
      </c>
      <c r="D7" s="12" t="s">
        <v>90</v>
      </c>
      <c r="E7" s="8" t="s">
        <v>134</v>
      </c>
    </row>
    <row r="8" customFormat="false" ht="23.25" hidden="false" customHeight="true" outlineLevel="0" collapsed="false"/>
  </sheetData>
  <dataValidations count="1">
    <dataValidation allowBlank="false" errorStyle="stop" operator="between" showDropDown="false" showErrorMessage="false" showInputMessage="false" sqref="C5:D7" type="list">
      <formula1>"SI,NO"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2026-07-04T21:38:25Z</dcterms:created>
  <dc:creator>openpyxl</dc:creator>
  <dc:description/>
  <dc:language>en-US</dc:language>
  <cp:lastModifiedBy>Oscar Jesus Chavez Carrion-Ing. en Informatica y Siste</cp:lastModifiedBy>
  <dcterms:modified xsi:type="dcterms:W3CDTF">2026-07-07T18:04:14Z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